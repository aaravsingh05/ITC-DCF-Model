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v\Finance Certifications\Financial Models\"/>
    </mc:Choice>
  </mc:AlternateContent>
  <xr:revisionPtr revIDLastSave="0" documentId="13_ncr:1_{30F84159-79B6-4D7D-8D30-25DE707DD6B8}" xr6:coauthVersionLast="47" xr6:coauthVersionMax="47" xr10:uidLastSave="{00000000-0000-0000-0000-000000000000}"/>
  <bookViews>
    <workbookView xWindow="-108" yWindow="-108" windowWidth="23256" windowHeight="12456" xr2:uid="{CF8D4A20-84DE-4A1C-AC44-2B10480F709B}"/>
  </bookViews>
  <sheets>
    <sheet name="Cover" sheetId="5" r:id="rId1"/>
    <sheet name="Outputs" sheetId="8" r:id="rId2"/>
    <sheet name="Inputs" sheetId="6" r:id="rId3"/>
    <sheet name="Model" sheetId="7" r:id="rId4"/>
    <sheet name="HIS" sheetId="3" state="hidden" r:id="rId5"/>
    <sheet name="HBS" sheetId="4" state="hidden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8" l="1"/>
  <c r="H33" i="8"/>
  <c r="G33" i="8"/>
  <c r="F33" i="8"/>
  <c r="E33" i="8"/>
  <c r="D33" i="8"/>
  <c r="H32" i="8"/>
  <c r="G32" i="8"/>
  <c r="F32" i="8"/>
  <c r="E32" i="8"/>
  <c r="D32" i="8"/>
  <c r="H31" i="8"/>
  <c r="P31" i="8" s="1"/>
  <c r="G31" i="8"/>
  <c r="F31" i="8"/>
  <c r="E31" i="8"/>
  <c r="D31" i="8"/>
  <c r="H30" i="8"/>
  <c r="G30" i="8"/>
  <c r="F30" i="8"/>
  <c r="E30" i="8"/>
  <c r="D30" i="8"/>
  <c r="H29" i="8"/>
  <c r="G29" i="8"/>
  <c r="F29" i="8"/>
  <c r="E29" i="8"/>
  <c r="D29" i="8"/>
  <c r="F28" i="8"/>
  <c r="E28" i="8" s="1"/>
  <c r="D28" i="8" s="1"/>
  <c r="O18" i="8"/>
  <c r="O17" i="8"/>
  <c r="O15" i="8"/>
  <c r="N28" i="8" s="1"/>
  <c r="O28" i="8" s="1"/>
  <c r="P28" i="8" s="1"/>
  <c r="H45" i="8" l="1"/>
  <c r="P45" i="8" s="1"/>
  <c r="L32" i="8"/>
  <c r="D46" i="8" s="1"/>
  <c r="L46" i="8" s="1"/>
  <c r="L29" i="8"/>
  <c r="D43" i="8" s="1"/>
  <c r="L43" i="8" s="1"/>
  <c r="M32" i="8"/>
  <c r="E46" i="8" s="1"/>
  <c r="M46" i="8" s="1"/>
  <c r="M29" i="8"/>
  <c r="E43" i="8" s="1"/>
  <c r="M43" i="8" s="1"/>
  <c r="N32" i="8"/>
  <c r="F46" i="8" s="1"/>
  <c r="N46" i="8" s="1"/>
  <c r="N29" i="8"/>
  <c r="F43" i="8" s="1"/>
  <c r="N43" i="8" s="1"/>
  <c r="O32" i="8"/>
  <c r="G46" i="8" s="1"/>
  <c r="O46" i="8" s="1"/>
  <c r="O29" i="8"/>
  <c r="G43" i="8" s="1"/>
  <c r="O43" i="8" s="1"/>
  <c r="P32" i="8"/>
  <c r="H46" i="8" s="1"/>
  <c r="P46" i="8" s="1"/>
  <c r="P29" i="8"/>
  <c r="H43" i="8" s="1"/>
  <c r="P43" i="8" s="1"/>
  <c r="L33" i="8"/>
  <c r="D47" i="8" s="1"/>
  <c r="L47" i="8" s="1"/>
  <c r="L30" i="8"/>
  <c r="D44" i="8" s="1"/>
  <c r="L44" i="8" s="1"/>
  <c r="M33" i="8"/>
  <c r="E47" i="8" s="1"/>
  <c r="M47" i="8" s="1"/>
  <c r="M30" i="8"/>
  <c r="E44" i="8" s="1"/>
  <c r="M44" i="8" s="1"/>
  <c r="N33" i="8"/>
  <c r="F47" i="8" s="1"/>
  <c r="N47" i="8" s="1"/>
  <c r="N30" i="8"/>
  <c r="F44" i="8" s="1"/>
  <c r="N44" i="8" s="1"/>
  <c r="O30" i="8"/>
  <c r="G44" i="8" s="1"/>
  <c r="O44" i="8" s="1"/>
  <c r="P33" i="8"/>
  <c r="H47" i="8" s="1"/>
  <c r="P47" i="8" s="1"/>
  <c r="P30" i="8"/>
  <c r="H44" i="8" s="1"/>
  <c r="P44" i="8" s="1"/>
  <c r="O33" i="8"/>
  <c r="G47" i="8" s="1"/>
  <c r="O47" i="8" s="1"/>
  <c r="G28" i="8"/>
  <c r="H28" i="8" s="1"/>
  <c r="N42" i="8"/>
  <c r="M31" i="8"/>
  <c r="E45" i="8" s="1"/>
  <c r="M45" i="8" s="1"/>
  <c r="F42" i="8"/>
  <c r="G42" i="8" s="1"/>
  <c r="H42" i="8" s="1"/>
  <c r="N31" i="8"/>
  <c r="F45" i="8" s="1"/>
  <c r="N45" i="8" s="1"/>
  <c r="L31" i="8"/>
  <c r="D45" i="8" s="1"/>
  <c r="L45" i="8" s="1"/>
  <c r="O31" i="8"/>
  <c r="G45" i="8" s="1"/>
  <c r="O45" i="8" s="1"/>
  <c r="M28" i="8"/>
  <c r="L28" i="8" s="1"/>
  <c r="O42" i="8" l="1"/>
  <c r="P42" i="8" s="1"/>
  <c r="M42" i="8"/>
  <c r="L42" i="8" s="1"/>
  <c r="E42" i="8"/>
  <c r="D42" i="8" s="1"/>
  <c r="D20" i="8" l="1"/>
  <c r="E20" i="8" s="1"/>
  <c r="F20" i="8" s="1"/>
  <c r="D19" i="8"/>
  <c r="E19" i="8" s="1"/>
  <c r="F19" i="8" s="1"/>
  <c r="D18" i="8"/>
  <c r="E18" i="8" s="1"/>
  <c r="F18" i="8" s="1"/>
  <c r="J143" i="7"/>
  <c r="B132" i="7"/>
  <c r="K134" i="7"/>
  <c r="L134" i="7" s="1"/>
  <c r="M134" i="7" s="1"/>
  <c r="N134" i="7" s="1"/>
  <c r="O134" i="7" s="1"/>
  <c r="K133" i="7"/>
  <c r="L133" i="7" s="1"/>
  <c r="M133" i="7" s="1"/>
  <c r="N133" i="7" s="1"/>
  <c r="O133" i="7" s="1"/>
  <c r="O146" i="7" s="1"/>
  <c r="N99" i="6"/>
  <c r="N98" i="6"/>
  <c r="J133" i="7"/>
  <c r="J134" i="7" s="1"/>
  <c r="E81" i="7"/>
  <c r="O154" i="7"/>
  <c r="D153" i="7"/>
  <c r="J161" i="7"/>
  <c r="G143" i="7" l="1"/>
  <c r="K146" i="7"/>
  <c r="K148" i="7" s="1"/>
  <c r="L146" i="7"/>
  <c r="L148" i="7" s="1"/>
  <c r="M146" i="7"/>
  <c r="M148" i="7" s="1"/>
  <c r="N146" i="7"/>
  <c r="N148" i="7" s="1"/>
  <c r="B116" i="7" l="1"/>
  <c r="B74" i="7"/>
  <c r="B43" i="7"/>
  <c r="B11" i="7"/>
  <c r="K52" i="7"/>
  <c r="L57" i="6"/>
  <c r="K57" i="6"/>
  <c r="N57" i="6" s="1"/>
  <c r="N78" i="6"/>
  <c r="N84" i="6" s="1"/>
  <c r="M84" i="6"/>
  <c r="J124" i="7"/>
  <c r="J123" i="7"/>
  <c r="J121" i="7"/>
  <c r="I124" i="7"/>
  <c r="I123" i="7"/>
  <c r="I121" i="7"/>
  <c r="K115" i="7"/>
  <c r="L115" i="7" s="1"/>
  <c r="M115" i="7" s="1"/>
  <c r="N115" i="7" s="1"/>
  <c r="H101" i="7"/>
  <c r="L99" i="7"/>
  <c r="M99" i="7" s="1"/>
  <c r="N99" i="7" s="1"/>
  <c r="K96" i="7"/>
  <c r="K95" i="7"/>
  <c r="L96" i="7" s="1"/>
  <c r="K94" i="7"/>
  <c r="L95" i="7" s="1"/>
  <c r="M96" i="7" s="1"/>
  <c r="I96" i="7"/>
  <c r="I95" i="7"/>
  <c r="I94" i="7"/>
  <c r="I93" i="7"/>
  <c r="H94" i="7"/>
  <c r="H95" i="7" s="1"/>
  <c r="H96" i="7" s="1"/>
  <c r="L92" i="7"/>
  <c r="M92" i="7" s="1"/>
  <c r="N92" i="7" s="1"/>
  <c r="K88" i="7"/>
  <c r="L88" i="7" s="1"/>
  <c r="M88" i="7" s="1"/>
  <c r="N88" i="7" s="1"/>
  <c r="N93" i="7" s="1"/>
  <c r="K81" i="7"/>
  <c r="L81" i="7" s="1"/>
  <c r="G78" i="6"/>
  <c r="G81" i="6" s="1"/>
  <c r="E79" i="6"/>
  <c r="F77" i="6" s="1"/>
  <c r="M61" i="6"/>
  <c r="M60" i="6"/>
  <c r="J61" i="6"/>
  <c r="J60" i="6"/>
  <c r="L58" i="6"/>
  <c r="K58" i="6"/>
  <c r="N58" i="6" s="1"/>
  <c r="L56" i="6"/>
  <c r="K56" i="6"/>
  <c r="N56" i="6" s="1"/>
  <c r="L55" i="6"/>
  <c r="K55" i="6"/>
  <c r="N55" i="6" s="1"/>
  <c r="L54" i="6"/>
  <c r="K54" i="6"/>
  <c r="N54" i="6" s="1"/>
  <c r="K60" i="6" l="1"/>
  <c r="M85" i="6"/>
  <c r="K61" i="6"/>
  <c r="L61" i="6"/>
  <c r="L108" i="7"/>
  <c r="H102" i="7"/>
  <c r="K93" i="7"/>
  <c r="L94" i="7" s="1"/>
  <c r="M95" i="7" s="1"/>
  <c r="N96" i="7" s="1"/>
  <c r="L93" i="7"/>
  <c r="M94" i="7" s="1"/>
  <c r="N95" i="7" s="1"/>
  <c r="M93" i="7"/>
  <c r="N94" i="7" s="1"/>
  <c r="K108" i="7"/>
  <c r="M81" i="7"/>
  <c r="M108" i="7" s="1"/>
  <c r="G79" i="6"/>
  <c r="L60" i="6"/>
  <c r="F78" i="6"/>
  <c r="F79" i="6" s="1"/>
  <c r="J34" i="6" a="1"/>
  <c r="J34" i="6" s="1"/>
  <c r="K76" i="7" s="1"/>
  <c r="K124" i="7" s="1"/>
  <c r="K34" i="6" a="1"/>
  <c r="K34" i="6" s="1"/>
  <c r="L76" i="7" s="1"/>
  <c r="L124" i="7" s="1"/>
  <c r="L34" i="6" a="1"/>
  <c r="L34" i="6" s="1"/>
  <c r="M76" i="7" s="1"/>
  <c r="M124" i="7" s="1"/>
  <c r="M34" i="6" a="1"/>
  <c r="M34" i="6" s="1"/>
  <c r="N76" i="7" s="1"/>
  <c r="N124" i="7" s="1"/>
  <c r="N34" i="6" a="1"/>
  <c r="N34" i="6" s="1"/>
  <c r="K73" i="7"/>
  <c r="K42" i="7"/>
  <c r="L42" i="7" s="1"/>
  <c r="M42" i="7" s="1"/>
  <c r="N42" i="7" s="1"/>
  <c r="J64" i="7"/>
  <c r="I64" i="7"/>
  <c r="J63" i="7"/>
  <c r="I63" i="7"/>
  <c r="H64" i="7"/>
  <c r="H63" i="7"/>
  <c r="O53" i="7"/>
  <c r="N53" i="7"/>
  <c r="M53" i="7"/>
  <c r="L53" i="7"/>
  <c r="K53" i="7"/>
  <c r="O52" i="7"/>
  <c r="N52" i="7"/>
  <c r="M52" i="7"/>
  <c r="L52" i="7"/>
  <c r="O51" i="7"/>
  <c r="N51" i="7"/>
  <c r="M51" i="7"/>
  <c r="L51" i="7"/>
  <c r="K51" i="7"/>
  <c r="J47" i="7"/>
  <c r="J53" i="7" s="1"/>
  <c r="I47" i="7"/>
  <c r="I53" i="7" s="1"/>
  <c r="H47" i="7"/>
  <c r="H52" i="7" s="1"/>
  <c r="J46" i="7"/>
  <c r="J51" i="7" s="1"/>
  <c r="I46" i="7"/>
  <c r="I51" i="7" s="1"/>
  <c r="H46" i="7"/>
  <c r="H51" i="7" s="1"/>
  <c r="O32" i="7"/>
  <c r="N32" i="7"/>
  <c r="M32" i="7"/>
  <c r="L32" i="7"/>
  <c r="O31" i="7"/>
  <c r="N31" i="7"/>
  <c r="M31" i="7"/>
  <c r="L31" i="7"/>
  <c r="K32" i="7"/>
  <c r="K31" i="7"/>
  <c r="N27" i="6" a="1"/>
  <c r="N27" i="6" s="1"/>
  <c r="O15" i="7" s="1"/>
  <c r="M27" i="6" a="1"/>
  <c r="M27" i="6" s="1"/>
  <c r="N15" i="7" s="1"/>
  <c r="L27" i="6" a="1"/>
  <c r="L27" i="6" s="1"/>
  <c r="M15" i="7" s="1"/>
  <c r="K27" i="6" a="1"/>
  <c r="K27" i="6" s="1"/>
  <c r="L15" i="7" s="1"/>
  <c r="J27" i="6" a="1"/>
  <c r="J27" i="6" s="1"/>
  <c r="K15" i="7" s="1"/>
  <c r="N20" i="6" a="1"/>
  <c r="N20" i="6" s="1"/>
  <c r="O14" i="7" s="1"/>
  <c r="M20" i="6" a="1"/>
  <c r="M20" i="6" s="1"/>
  <c r="N14" i="7" s="1"/>
  <c r="L20" i="6" a="1"/>
  <c r="L20" i="6" s="1"/>
  <c r="M14" i="7" s="1"/>
  <c r="K20" i="6" a="1"/>
  <c r="K20" i="6" s="1"/>
  <c r="L14" i="7" s="1"/>
  <c r="J20" i="6" a="1"/>
  <c r="J20" i="6" s="1"/>
  <c r="K14" i="7" s="1"/>
  <c r="N13" i="6" a="1"/>
  <c r="N13" i="6" s="1"/>
  <c r="O13" i="7" s="1"/>
  <c r="M13" i="6" a="1"/>
  <c r="M13" i="6" s="1"/>
  <c r="N13" i="7" s="1"/>
  <c r="L13" i="6" a="1"/>
  <c r="L13" i="6" s="1"/>
  <c r="M13" i="7" s="1"/>
  <c r="K13" i="6" a="1"/>
  <c r="K13" i="6" s="1"/>
  <c r="L13" i="7" s="1"/>
  <c r="J13" i="6" a="1"/>
  <c r="J13" i="6" s="1"/>
  <c r="K13" i="7" s="1"/>
  <c r="K21" i="7" s="1"/>
  <c r="K46" i="7" s="1"/>
  <c r="K10" i="6"/>
  <c r="L10" i="6" s="1"/>
  <c r="M10" i="6" s="1"/>
  <c r="H17" i="7"/>
  <c r="H16" i="7"/>
  <c r="H15" i="7"/>
  <c r="H14" i="7"/>
  <c r="J17" i="7"/>
  <c r="I17" i="7"/>
  <c r="J16" i="7"/>
  <c r="I16" i="7"/>
  <c r="J15" i="7"/>
  <c r="I15" i="7"/>
  <c r="J14" i="7"/>
  <c r="I14" i="7"/>
  <c r="J13" i="7"/>
  <c r="I13" i="7"/>
  <c r="K10" i="7"/>
  <c r="L10" i="7" s="1"/>
  <c r="M10" i="7" s="1"/>
  <c r="N10" i="7" s="1"/>
  <c r="H65" i="7" l="1"/>
  <c r="H53" i="7"/>
  <c r="I52" i="7"/>
  <c r="O28" i="7"/>
  <c r="O123" i="7" s="1"/>
  <c r="O124" i="7"/>
  <c r="L73" i="7"/>
  <c r="M73" i="7" s="1"/>
  <c r="N73" i="7" s="1"/>
  <c r="I100" i="7"/>
  <c r="J100" i="7" s="1"/>
  <c r="J52" i="7"/>
  <c r="I65" i="7"/>
  <c r="H103" i="7"/>
  <c r="I103" i="7" s="1"/>
  <c r="J103" i="7" s="1"/>
  <c r="I102" i="7"/>
  <c r="J102" i="7" s="1"/>
  <c r="J65" i="7"/>
  <c r="I101" i="7"/>
  <c r="J101" i="7" s="1"/>
  <c r="N81" i="7"/>
  <c r="N108" i="7" s="1"/>
  <c r="F81" i="6"/>
  <c r="N61" i="6"/>
  <c r="N60" i="6"/>
  <c r="G68" i="6" s="1"/>
  <c r="K57" i="7"/>
  <c r="K25" i="7"/>
  <c r="K22" i="7"/>
  <c r="L21" i="7"/>
  <c r="J23" i="7"/>
  <c r="J26" i="7" s="1"/>
  <c r="J29" i="7" s="1"/>
  <c r="H23" i="7"/>
  <c r="H26" i="7" s="1"/>
  <c r="H29" i="7" s="1"/>
  <c r="H33" i="7" s="1"/>
  <c r="I23" i="7"/>
  <c r="I26" i="7" s="1"/>
  <c r="I29" i="7" s="1"/>
  <c r="J68" i="7" l="1"/>
  <c r="J125" i="7" s="1"/>
  <c r="I68" i="7"/>
  <c r="I125" i="7" s="1"/>
  <c r="I33" i="7"/>
  <c r="I37" i="7" s="1"/>
  <c r="I120" i="7"/>
  <c r="I122" i="7" s="1"/>
  <c r="J33" i="7"/>
  <c r="J18" i="7" s="1"/>
  <c r="J120" i="7"/>
  <c r="J122" i="7" s="1"/>
  <c r="G69" i="6"/>
  <c r="L103" i="7"/>
  <c r="K103" i="7"/>
  <c r="N103" i="7"/>
  <c r="M103" i="7"/>
  <c r="M101" i="7"/>
  <c r="L101" i="7"/>
  <c r="N101" i="7"/>
  <c r="K101" i="7"/>
  <c r="L102" i="7"/>
  <c r="N102" i="7"/>
  <c r="M102" i="7"/>
  <c r="K102" i="7"/>
  <c r="N100" i="7"/>
  <c r="M100" i="7"/>
  <c r="L100" i="7"/>
  <c r="K100" i="7"/>
  <c r="K23" i="7"/>
  <c r="K26" i="7" s="1"/>
  <c r="K47" i="7"/>
  <c r="K58" i="7" s="1"/>
  <c r="L25" i="7"/>
  <c r="L46" i="7"/>
  <c r="L57" i="7" s="1"/>
  <c r="M21" i="7"/>
  <c r="M22" i="7" s="1"/>
  <c r="L22" i="7"/>
  <c r="H37" i="7"/>
  <c r="H18" i="7"/>
  <c r="J37" i="7" l="1"/>
  <c r="I126" i="7"/>
  <c r="J126" i="7"/>
  <c r="G70" i="6"/>
  <c r="N68" i="6" s="1"/>
  <c r="N70" i="6" s="1"/>
  <c r="N85" i="6" s="1"/>
  <c r="I18" i="7"/>
  <c r="N21" i="7"/>
  <c r="N46" i="7" s="1"/>
  <c r="N57" i="7" s="1"/>
  <c r="N109" i="7"/>
  <c r="N110" i="7" s="1"/>
  <c r="N28" i="7" s="1"/>
  <c r="N123" i="7" s="1"/>
  <c r="K109" i="7"/>
  <c r="K110" i="7" s="1"/>
  <c r="K28" i="7" s="1"/>
  <c r="K123" i="7" s="1"/>
  <c r="L109" i="7"/>
  <c r="L110" i="7" s="1"/>
  <c r="L28" i="7" s="1"/>
  <c r="L123" i="7" s="1"/>
  <c r="M109" i="7"/>
  <c r="M110" i="7" s="1"/>
  <c r="M28" i="7" s="1"/>
  <c r="M123" i="7" s="1"/>
  <c r="K63" i="7"/>
  <c r="K59" i="7"/>
  <c r="K64" i="7" s="1"/>
  <c r="M23" i="7"/>
  <c r="M47" i="7"/>
  <c r="L23" i="7"/>
  <c r="L26" i="7" s="1"/>
  <c r="L47" i="7"/>
  <c r="M25" i="7"/>
  <c r="M46" i="7"/>
  <c r="M57" i="7" s="1"/>
  <c r="N88" i="6" l="1"/>
  <c r="O21" i="7"/>
  <c r="O46" i="7" s="1"/>
  <c r="O57" i="7" s="1"/>
  <c r="N25" i="7"/>
  <c r="N22" i="7"/>
  <c r="N47" i="7" s="1"/>
  <c r="L29" i="7"/>
  <c r="L33" i="7" s="1"/>
  <c r="L35" i="7" s="1"/>
  <c r="L121" i="7" s="1"/>
  <c r="K29" i="7"/>
  <c r="K65" i="7"/>
  <c r="K68" i="7" s="1"/>
  <c r="L59" i="7"/>
  <c r="L64" i="7" s="1"/>
  <c r="L58" i="7"/>
  <c r="L63" i="7" s="1"/>
  <c r="M59" i="7"/>
  <c r="M64" i="7" s="1"/>
  <c r="M58" i="7"/>
  <c r="M63" i="7" s="1"/>
  <c r="M26" i="7"/>
  <c r="M29" i="7" s="1"/>
  <c r="D154" i="7" l="1"/>
  <c r="O16" i="8"/>
  <c r="C31" i="8"/>
  <c r="K125" i="7"/>
  <c r="O25" i="7"/>
  <c r="O22" i="7"/>
  <c r="O47" i="7" s="1"/>
  <c r="N23" i="7"/>
  <c r="N26" i="7" s="1"/>
  <c r="N29" i="7" s="1"/>
  <c r="N120" i="7" s="1"/>
  <c r="L120" i="7"/>
  <c r="L122" i="7" s="1"/>
  <c r="L37" i="7"/>
  <c r="M33" i="7"/>
  <c r="M35" i="7" s="1"/>
  <c r="M120" i="7"/>
  <c r="K33" i="7"/>
  <c r="K35" i="7" s="1"/>
  <c r="K120" i="7"/>
  <c r="L65" i="7"/>
  <c r="N59" i="7"/>
  <c r="N64" i="7" s="1"/>
  <c r="N58" i="7"/>
  <c r="N63" i="7" s="1"/>
  <c r="M65" i="7"/>
  <c r="C30" i="8" l="1"/>
  <c r="C29" i="8" s="1"/>
  <c r="C32" i="8"/>
  <c r="C33" i="8" s="1"/>
  <c r="K31" i="8"/>
  <c r="K45" i="8"/>
  <c r="C45" i="8"/>
  <c r="M68" i="7"/>
  <c r="M125" i="7" s="1"/>
  <c r="L68" i="7"/>
  <c r="L125" i="7" s="1"/>
  <c r="L126" i="7" s="1"/>
  <c r="L136" i="7" s="1"/>
  <c r="L141" i="7" s="1"/>
  <c r="O23" i="7"/>
  <c r="O26" i="7" s="1"/>
  <c r="O29" i="7" s="1"/>
  <c r="N33" i="7"/>
  <c r="N35" i="7" s="1"/>
  <c r="N121" i="7" s="1"/>
  <c r="N122" i="7" s="1"/>
  <c r="K37" i="7"/>
  <c r="K121" i="7"/>
  <c r="K122" i="7" s="1"/>
  <c r="K126" i="7" s="1"/>
  <c r="K136" i="7" s="1"/>
  <c r="M37" i="7"/>
  <c r="M121" i="7"/>
  <c r="M122" i="7" s="1"/>
  <c r="O59" i="7"/>
  <c r="O64" i="7" s="1"/>
  <c r="O58" i="7"/>
  <c r="O63" i="7" s="1"/>
  <c r="N65" i="7"/>
  <c r="K30" i="8" l="1"/>
  <c r="K29" i="8" s="1"/>
  <c r="K32" i="8"/>
  <c r="K33" i="8" s="1"/>
  <c r="K44" i="8"/>
  <c r="K43" i="8" s="1"/>
  <c r="K46" i="8"/>
  <c r="K47" i="8" s="1"/>
  <c r="C46" i="8"/>
  <c r="C47" i="8" s="1"/>
  <c r="C44" i="8"/>
  <c r="C43" i="8" s="1"/>
  <c r="N68" i="7"/>
  <c r="N125" i="7" s="1"/>
  <c r="N126" i="7" s="1"/>
  <c r="N136" i="7" s="1"/>
  <c r="N141" i="7" s="1"/>
  <c r="L143" i="7"/>
  <c r="L147" i="7"/>
  <c r="L149" i="7" s="1"/>
  <c r="O65" i="7"/>
  <c r="O68" i="7" s="1"/>
  <c r="O125" i="7" s="1"/>
  <c r="O137" i="7"/>
  <c r="N37" i="7"/>
  <c r="K141" i="7"/>
  <c r="M126" i="7"/>
  <c r="M136" i="7" s="1"/>
  <c r="M141" i="7" s="1"/>
  <c r="O33" i="7"/>
  <c r="O35" i="7" s="1"/>
  <c r="O120" i="7"/>
  <c r="N143" i="7" l="1"/>
  <c r="N147" i="7"/>
  <c r="N149" i="7" s="1"/>
  <c r="M143" i="7"/>
  <c r="M147" i="7"/>
  <c r="M149" i="7" s="1"/>
  <c r="K143" i="7"/>
  <c r="K147" i="7"/>
  <c r="O142" i="7"/>
  <c r="O148" i="7" s="1"/>
  <c r="J154" i="7" s="1"/>
  <c r="O143" i="7"/>
  <c r="O37" i="7"/>
  <c r="O121" i="7"/>
  <c r="O122" i="7" s="1"/>
  <c r="O126" i="7" s="1"/>
  <c r="O136" i="7" s="1"/>
  <c r="O141" i="7" s="1"/>
  <c r="K149" i="7" l="1"/>
  <c r="O147" i="7"/>
  <c r="O149" i="7" s="1"/>
  <c r="J153" i="7" l="1"/>
  <c r="J155" i="7" l="1"/>
  <c r="G108" i="6" l="1"/>
  <c r="D177" i="7"/>
  <c r="J160" i="7"/>
  <c r="J162" i="7" s="1"/>
  <c r="O153" i="7" s="1"/>
  <c r="O15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<sst xmlns="http://schemas.openxmlformats.org/spreadsheetml/2006/main" count="405" uniqueCount="287">
  <si>
    <t>Total Revenue</t>
  </si>
  <si>
    <t>Operating Revenue</t>
  </si>
  <si>
    <t>Gross Profit</t>
  </si>
  <si>
    <t>Operating Expense</t>
  </si>
  <si>
    <t>Other Operating Expenses</t>
  </si>
  <si>
    <t>Operating Income</t>
  </si>
  <si>
    <t>Net Non Operating Interest Income Expense</t>
  </si>
  <si>
    <t>Interest Income Non Operating</t>
  </si>
  <si>
    <t>Interest Expense Non Operating</t>
  </si>
  <si>
    <t>Total Other Finance Cost</t>
  </si>
  <si>
    <t>Pretax Income</t>
  </si>
  <si>
    <t>Tax Provision</t>
  </si>
  <si>
    <t>Net Income Common Stockholders</t>
  </si>
  <si>
    <t>Net Income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</si>
  <si>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</si>
  <si>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</si>
  <si>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</si>
  <si>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</si>
  <si>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</si>
  <si>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</si>
  <si>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</si>
  <si>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</si>
  <si>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</si>
  <si>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</si>
  <si>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</si>
  <si>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</si>
  <si>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</si>
  <si>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</si>
  <si>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</si>
  <si>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</si>
  <si>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</si>
  <si>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</si>
  <si>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</si>
  <si>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</si>
  <si>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</si>
  <si>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Pension And Other Postretirement Benefit Plans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</si>
  <si>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</si>
  <si>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</si>
  <si>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</si>
  <si>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</si>
  <si>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</si>
  <si>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</si>
  <si>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</si>
  <si>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</si>
  <si>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Taxes Liabilities</t>
  </si>
  <si>
    <t>Current Debt And Capital Lease Obligation</t>
  </si>
  <si>
    <t>Current Capital Lease Obligation</t>
  </si>
  <si>
    <t>Current Debt</t>
  </si>
  <si>
    <t>Pensionand Other Post Retirement Benefit Plans Current</t>
  </si>
  <si>
    <t>Current Provisions</t>
  </si>
  <si>
    <t>Payables</t>
  </si>
  <si>
    <t>Other Payable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</si>
  <si>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</si>
  <si>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</si>
  <si>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</si>
  <si>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</si>
  <si>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</si>
  <si>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</si>
  <si>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Non Current Prepaid Assets</t>
  </si>
  <si>
    <t>Non Current Deferred Taxes Assets</t>
  </si>
  <si>
    <t>Investmentin Financial Assets</t>
  </si>
  <si>
    <t>Available For Sale Securities</t>
  </si>
  <si>
    <t>Financial Assets Designatedas Fair Value Through Profitor Loss Total</t>
  </si>
  <si>
    <t>Long Term Equity Investment</t>
  </si>
  <si>
    <t>Investment Properties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</si>
  <si>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</si>
  <si>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</si>
  <si>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</si>
  <si>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</si>
  <si>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</si>
  <si>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</si>
  <si>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</si>
  <si>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</si>
  <si>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</si>
  <si>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</si>
  <si>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</si>
  <si>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</si>
  <si>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</si>
  <si>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</si>
  <si>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Restricted Cash</t>
  </si>
  <si>
    <t>Prepaid Assets</t>
  </si>
  <si>
    <t>Inventory</t>
  </si>
  <si>
    <t>Other Inventories</t>
  </si>
  <si>
    <t>Finished Goods</t>
  </si>
  <si>
    <t>Work In Process</t>
  </si>
  <si>
    <t>Raw Materials</t>
  </si>
  <si>
    <t>Other 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</si>
  <si>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</si>
  <si>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</si>
  <si>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</si>
  <si>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</si>
  <si>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</si>
  <si>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</si>
  <si>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</si>
  <si>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</si>
  <si>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</si>
  <si>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</si>
  <si>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</si>
  <si>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</si>
  <si>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</si>
  <si>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</si>
  <si>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</si>
  <si>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</si>
  <si>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</si>
  <si>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</si>
  <si>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</si>
  <si>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</si>
  <si>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</si>
  <si>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</si>
  <si>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</si>
  <si>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</si>
  <si>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</si>
  <si>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Diluted Average Shares</t>
  </si>
  <si>
    <t>Basic Average Shares</t>
  </si>
  <si>
    <t>Diluted EPS</t>
  </si>
  <si>
    <t>Basic EPS</t>
  </si>
  <si>
    <t>Diluted NI Availto Com Stockholders</t>
  </si>
  <si>
    <t>Otherunder Preferred Stock Dividend</t>
  </si>
  <si>
    <t>Minority Interests</t>
  </si>
  <si>
    <t>Net Income Including Noncontrolling Interests</t>
  </si>
  <si>
    <t>Net Income Discontinuous Operations</t>
  </si>
  <si>
    <t>Net Income Continuous Operations</t>
  </si>
  <si>
    <t>Other Non Operating Income Expenses</t>
  </si>
  <si>
    <t>Special Income Charges</t>
  </si>
  <si>
    <t>Other Special Charges</t>
  </si>
  <si>
    <t>Write Off</t>
  </si>
  <si>
    <t>Depreciation And Amortization In Income Statement</t>
  </si>
  <si>
    <t>Depreciation Income Statement</t>
  </si>
  <si>
    <t>Research And Development</t>
  </si>
  <si>
    <t>Selling General And Administration</t>
  </si>
  <si>
    <t>Selling And Marketing Expense</t>
  </si>
  <si>
    <t>General And Administrative Expense</t>
  </si>
  <si>
    <t>Rent And Landing Fees</t>
  </si>
  <si>
    <t>Cost Of Revenue</t>
  </si>
  <si>
    <t>Income Statement</t>
  </si>
  <si>
    <t>All Figures in INR Crores unless stated</t>
  </si>
  <si>
    <t>Term</t>
  </si>
  <si>
    <t>Revenue Growth</t>
  </si>
  <si>
    <t>COGS</t>
  </si>
  <si>
    <t>SG&amp;A</t>
  </si>
  <si>
    <t>(% of Revenue)</t>
  </si>
  <si>
    <t>Revenue</t>
  </si>
  <si>
    <t>Depreciation &amp; Amortisation</t>
  </si>
  <si>
    <t>EBT</t>
  </si>
  <si>
    <t>Net Interest Income/(Expense)</t>
  </si>
  <si>
    <t>Provision For Taxes</t>
  </si>
  <si>
    <t>Assumptions</t>
  </si>
  <si>
    <t>Other Non Operating Income/(Expense)</t>
  </si>
  <si>
    <t>Capital Expenditure</t>
  </si>
  <si>
    <t>Other Operating Income/(Expense)</t>
  </si>
  <si>
    <t>Tax Rate</t>
  </si>
  <si>
    <t>Assumptions and Drivers</t>
  </si>
  <si>
    <t>Best Case</t>
  </si>
  <si>
    <t>Base Case</t>
  </si>
  <si>
    <t>Worst Case</t>
  </si>
  <si>
    <t>(as % of revenue)</t>
  </si>
  <si>
    <t>Working Capital Schedule</t>
  </si>
  <si>
    <t>Days in Period</t>
  </si>
  <si>
    <t>(Days)</t>
  </si>
  <si>
    <t xml:space="preserve"> </t>
  </si>
  <si>
    <t xml:space="preserve">Accounts Recievable </t>
  </si>
  <si>
    <t>Net Working Capital</t>
  </si>
  <si>
    <t>Depreciation Schedule</t>
  </si>
  <si>
    <t>Amounts Per Day</t>
  </si>
  <si>
    <t>Total Amounts</t>
  </si>
  <si>
    <t>Other Inputs</t>
  </si>
  <si>
    <t>Valuation Date</t>
  </si>
  <si>
    <t>First Expected Cash Flow</t>
  </si>
  <si>
    <t>First Fiscal Year End for Forecast</t>
  </si>
  <si>
    <t>First Year of Forecast</t>
  </si>
  <si>
    <t>Incorrect Date Set for Valuation?</t>
  </si>
  <si>
    <t>Incorrect Date Set for First Cash Flow?</t>
  </si>
  <si>
    <t>Weighted Average Cost of Capital (WACC)</t>
  </si>
  <si>
    <t>Debt/</t>
  </si>
  <si>
    <t>Levered</t>
  </si>
  <si>
    <t>Unlevered</t>
  </si>
  <si>
    <t>Name</t>
  </si>
  <si>
    <t>Region</t>
  </si>
  <si>
    <t>Debt</t>
  </si>
  <si>
    <t>Equity</t>
  </si>
  <si>
    <t>Capital</t>
  </si>
  <si>
    <t xml:space="preserve">Tax Rate </t>
  </si>
  <si>
    <t>Britannia Industries Limited</t>
  </si>
  <si>
    <t>India</t>
  </si>
  <si>
    <t>Useful Life : Existing Assets</t>
  </si>
  <si>
    <t>Nestle India</t>
  </si>
  <si>
    <t>Hindustan Uniliver</t>
  </si>
  <si>
    <t xml:space="preserve">Beta </t>
  </si>
  <si>
    <t>Median</t>
  </si>
  <si>
    <t xml:space="preserve">Average </t>
  </si>
  <si>
    <t>Risk Premium for Equity</t>
  </si>
  <si>
    <t xml:space="preserve">Market Risk Premium </t>
  </si>
  <si>
    <t>Average Unlevered Beta</t>
  </si>
  <si>
    <t>Levered Beta</t>
  </si>
  <si>
    <t xml:space="preserve">Equity </t>
  </si>
  <si>
    <t>Equity Risk Premium</t>
  </si>
  <si>
    <t>Capital Structure</t>
  </si>
  <si>
    <t>Market Capitilization</t>
  </si>
  <si>
    <t>Total Capitilization</t>
  </si>
  <si>
    <t>Current</t>
  </si>
  <si>
    <t>Target</t>
  </si>
  <si>
    <t>Debt/Equity</t>
  </si>
  <si>
    <t>Cost of Equity</t>
  </si>
  <si>
    <t>Risk Free Rate</t>
  </si>
  <si>
    <t>Country Risk Premium</t>
  </si>
  <si>
    <t>Cost of Debt</t>
  </si>
  <si>
    <t>Pre Tax Cost of Debt</t>
  </si>
  <si>
    <t>After Tax Cost of Debt</t>
  </si>
  <si>
    <t>Existing Asset Depreciation</t>
  </si>
  <si>
    <t>Years</t>
  </si>
  <si>
    <t>PP&amp;E at end of 2025</t>
  </si>
  <si>
    <t>Yr1</t>
  </si>
  <si>
    <t>Yr2</t>
  </si>
  <si>
    <t>Yr3</t>
  </si>
  <si>
    <t>Yr4</t>
  </si>
  <si>
    <t>New Asset Depreciation</t>
  </si>
  <si>
    <t>Useful Life : New Assets</t>
  </si>
  <si>
    <t>First Year Accounting Depreciation</t>
  </si>
  <si>
    <t>Percent of Full Year</t>
  </si>
  <si>
    <t>Year</t>
  </si>
  <si>
    <t>Life</t>
  </si>
  <si>
    <t>Capex</t>
  </si>
  <si>
    <t>Per Yr</t>
  </si>
  <si>
    <t>Total Asset Depriciation</t>
  </si>
  <si>
    <t>Existing Assets</t>
  </si>
  <si>
    <t>New Assets</t>
  </si>
  <si>
    <t>Total Depreciation</t>
  </si>
  <si>
    <t>Unlevered Free Cash Flow Schedule</t>
  </si>
  <si>
    <t>Unlevered Free Cash Flow</t>
  </si>
  <si>
    <t>Current Taxes</t>
  </si>
  <si>
    <t>NOPAT</t>
  </si>
  <si>
    <t xml:space="preserve">Depreciation &amp; Amortisation </t>
  </si>
  <si>
    <t>Cash From Working Capital</t>
  </si>
  <si>
    <t>Discounted Cash Flow Schedule</t>
  </si>
  <si>
    <t>Discrete Forecast</t>
  </si>
  <si>
    <t>Terminal Value</t>
  </si>
  <si>
    <t>Total Cash Flow</t>
  </si>
  <si>
    <t>Terminal Multiple</t>
  </si>
  <si>
    <t>Discount Rate</t>
  </si>
  <si>
    <t>Weighted Average Cost of Capital</t>
  </si>
  <si>
    <t>Weight</t>
  </si>
  <si>
    <t>Cost</t>
  </si>
  <si>
    <t>Debt Capital</t>
  </si>
  <si>
    <t>Equity Capital</t>
  </si>
  <si>
    <t>Enterprise Value</t>
  </si>
  <si>
    <t>PV of Discreet</t>
  </si>
  <si>
    <t>PV of Terminal</t>
  </si>
  <si>
    <t>Equity Value</t>
  </si>
  <si>
    <t>Net Debt</t>
  </si>
  <si>
    <r>
      <t xml:space="preserve">Net Debt </t>
    </r>
    <r>
      <rPr>
        <vertAlign val="superscript"/>
        <sz val="9"/>
        <color theme="1"/>
        <rFont val="Aptos"/>
        <family val="2"/>
      </rPr>
      <t>(1)</t>
    </r>
  </si>
  <si>
    <r>
      <t>Since ITC has a Net Cash position as Cash and Cash Equivalents exceed the total interest bearing debt, resulting in a negative Net Debt.</t>
    </r>
    <r>
      <rPr>
        <vertAlign val="superscript"/>
        <sz val="9"/>
        <color theme="1"/>
        <rFont val="Aptos"/>
        <family val="2"/>
      </rPr>
      <t xml:space="preserve"> (1)</t>
    </r>
  </si>
  <si>
    <t>Equity Value per Share</t>
  </si>
  <si>
    <t xml:space="preserve">Equity Value  </t>
  </si>
  <si>
    <t>Shares Outstanding</t>
  </si>
  <si>
    <t>Varun Beverages</t>
  </si>
  <si>
    <t>Godrej Consumers</t>
  </si>
  <si>
    <t>(INR/Share)</t>
  </si>
  <si>
    <t>Dashboard</t>
  </si>
  <si>
    <t>Main Outputs</t>
  </si>
  <si>
    <t>Enterprise</t>
  </si>
  <si>
    <t>Value</t>
  </si>
  <si>
    <t>Per Share</t>
  </si>
  <si>
    <t>WACC</t>
  </si>
  <si>
    <t>INR/Share</t>
  </si>
  <si>
    <t>PP&amp;E at the end of 2025</t>
  </si>
  <si>
    <t xml:space="preserve">Valuation </t>
  </si>
  <si>
    <t>Adjusted Cash Flow</t>
  </si>
  <si>
    <t>Partial Period Adjustment</t>
  </si>
  <si>
    <t>Terminal</t>
  </si>
  <si>
    <t>Adjustment</t>
  </si>
  <si>
    <t>DD-MM-YY</t>
  </si>
  <si>
    <t>Unadjusted Cash Flow</t>
  </si>
  <si>
    <t>Fiscal Year End</t>
  </si>
  <si>
    <t>Cash Flow Timing</t>
  </si>
  <si>
    <t>Main Inputs Taken</t>
  </si>
  <si>
    <t>Premium (Discount) to Stock Price</t>
  </si>
  <si>
    <t>Current Stock Price</t>
  </si>
  <si>
    <t>Discounted Cash Flow Model</t>
  </si>
  <si>
    <t>Table of Contents:</t>
  </si>
  <si>
    <t>Outputs</t>
  </si>
  <si>
    <t>Inputs</t>
  </si>
  <si>
    <t>Model</t>
  </si>
  <si>
    <t>Disclaimer:</t>
  </si>
  <si>
    <t xml:space="preserve">The following workbook and each cell in it has been protected using a password. It has been done so to preserve the formatting, formulas </t>
  </si>
  <si>
    <t xml:space="preserve"> and ultimately the dynamicity of the model. </t>
  </si>
  <si>
    <t>Thank You, Have a Nice Day</t>
  </si>
  <si>
    <t>If need be, suggestions and reviews can be made via E-Mail and/or Linkedin.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</si>
</sst>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Yes&quot;;&quot;Yes&quot;;&quot;No&quot;"/>
    <numFmt numFmtId="165" formatCode="0\A"/>
    <numFmt numFmtId="166" formatCode="0\F"/>
    <numFmt numFmtId="167" formatCode="_(#,##0_);\(#,##0\);_(&quot;–&quot;_);_(@_)"/>
    <numFmt numFmtId="168" formatCode="0.0%"/>
    <numFmt numFmtId="169" formatCode="dd/mm/yyyy"/>
    <numFmt numFmtId="170" formatCode="0.00\x"/>
    <numFmt numFmtId="171" formatCode="_-* #,##0.00_-;\-* #,##0.00_-;_-* &quot;-&quot;??_-;_-@_-"/>
    <numFmt numFmtId="172" formatCode="_(#,##0.0%_);\(#,##0.0%\);_(&quot;–&quot;_)_%;_(@_)_%"/>
  </numFmts>
  <fonts count="28" x14ac:knownFonts="1"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4"/>
      <color theme="0"/>
      <name val="Aptos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  <font>
      <b/>
      <sz val="11"/>
      <color rgb="FF0F2D70"/>
      <name val="Aptos"/>
      <family val="2"/>
    </font>
    <font>
      <sz val="9"/>
      <color theme="1"/>
      <name val="Aptos"/>
      <family val="2"/>
    </font>
    <font>
      <i/>
      <sz val="9"/>
      <color theme="1"/>
      <name val="Aptos"/>
      <family val="2"/>
    </font>
    <font>
      <sz val="10"/>
      <color rgb="FF000000"/>
      <name val="Aptos"/>
      <family val="2"/>
    </font>
    <font>
      <sz val="10"/>
      <color theme="4"/>
      <name val="Aptos"/>
      <family val="2"/>
    </font>
    <font>
      <b/>
      <sz val="10"/>
      <color rgb="FF000000"/>
      <name val="Aptos"/>
      <family val="2"/>
    </font>
    <font>
      <sz val="14"/>
      <color theme="0"/>
      <name val="Aptos"/>
      <family val="2"/>
    </font>
    <font>
      <i/>
      <sz val="11"/>
      <color theme="1"/>
      <name val="Aptos"/>
      <family val="2"/>
    </font>
    <font>
      <sz val="11"/>
      <color theme="4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vertAlign val="superscript"/>
      <sz val="9"/>
      <color theme="1"/>
      <name val="Aptos"/>
      <family val="2"/>
    </font>
    <font>
      <i/>
      <sz val="8"/>
      <color theme="1"/>
      <name val="Aptos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4"/>
      <name val="Aptos"/>
      <family val="2"/>
    </font>
    <font>
      <b/>
      <sz val="24"/>
      <color rgb="FF0F2D70"/>
      <name val="Aptos"/>
      <family val="2"/>
    </font>
    <font>
      <b/>
      <sz val="16"/>
      <color rgb="FF0F2D70"/>
      <name val="Aptos"/>
      <family val="2"/>
    </font>
    <font>
      <b/>
      <sz val="12"/>
      <color rgb="FF0F2D70"/>
      <name val="Aptos"/>
      <family val="2"/>
    </font>
    <font>
      <b/>
      <sz val="9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F2D7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9" fillId="0" borderId="0"/>
    <xf numFmtId="171" fontId="20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40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3" fillId="2" borderId="0" xfId="0" applyFont="1" applyFill="1"/>
    <xf numFmtId="0" fontId="5" fillId="0" borderId="0" xfId="0" applyFont="1"/>
    <xf numFmtId="166" fontId="1" fillId="0" borderId="9" xfId="0" applyNumberFormat="1" applyFont="1" applyBorder="1"/>
    <xf numFmtId="166" fontId="1" fillId="0" borderId="9" xfId="0" applyNumberFormat="1" applyFont="1" applyBorder="1" applyAlignment="1">
      <alignment horizontal="right"/>
    </xf>
    <xf numFmtId="166" fontId="6" fillId="0" borderId="9" xfId="0" applyNumberFormat="1" applyFont="1" applyBorder="1"/>
    <xf numFmtId="166" fontId="6" fillId="0" borderId="9" xfId="0" applyNumberFormat="1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167" fontId="9" fillId="0" borderId="0" xfId="0" applyNumberFormat="1" applyFont="1"/>
    <xf numFmtId="167" fontId="10" fillId="0" borderId="0" xfId="0" applyNumberFormat="1" applyFont="1"/>
    <xf numFmtId="9" fontId="9" fillId="0" borderId="13" xfId="0" applyNumberFormat="1" applyFont="1" applyBorder="1"/>
    <xf numFmtId="167" fontId="9" fillId="0" borderId="13" xfId="0" applyNumberFormat="1" applyFont="1" applyBorder="1"/>
    <xf numFmtId="167" fontId="9" fillId="0" borderId="14" xfId="0" applyNumberFormat="1" applyFont="1" applyBorder="1"/>
    <xf numFmtId="9" fontId="9" fillId="0" borderId="0" xfId="0" applyNumberFormat="1" applyFont="1"/>
    <xf numFmtId="167" fontId="9" fillId="0" borderId="16" xfId="0" applyNumberFormat="1" applyFont="1" applyBorder="1"/>
    <xf numFmtId="167" fontId="9" fillId="0" borderId="15" xfId="0" applyNumberFormat="1" applyFont="1" applyBorder="1"/>
    <xf numFmtId="167" fontId="10" fillId="0" borderId="16" xfId="0" applyNumberFormat="1" applyFont="1" applyBorder="1"/>
    <xf numFmtId="9" fontId="9" fillId="0" borderId="17" xfId="0" applyNumberFormat="1" applyFont="1" applyBorder="1"/>
    <xf numFmtId="9" fontId="9" fillId="0" borderId="18" xfId="0" applyNumberFormat="1" applyFont="1" applyBorder="1"/>
    <xf numFmtId="9" fontId="10" fillId="0" borderId="18" xfId="0" applyNumberFormat="1" applyFont="1" applyBorder="1"/>
    <xf numFmtId="9" fontId="10" fillId="0" borderId="19" xfId="0" applyNumberFormat="1" applyFont="1" applyBorder="1"/>
    <xf numFmtId="167" fontId="9" fillId="0" borderId="12" xfId="0" applyNumberFormat="1" applyFont="1" applyBorder="1"/>
    <xf numFmtId="167" fontId="9" fillId="0" borderId="17" xfId="0" applyNumberFormat="1" applyFont="1" applyBorder="1"/>
    <xf numFmtId="167" fontId="9" fillId="0" borderId="10" xfId="0" applyNumberFormat="1" applyFont="1" applyBorder="1"/>
    <xf numFmtId="167" fontId="11" fillId="0" borderId="9" xfId="0" applyNumberFormat="1" applyFont="1" applyBorder="1"/>
    <xf numFmtId="0" fontId="12" fillId="2" borderId="0" xfId="0" applyFont="1" applyFill="1"/>
    <xf numFmtId="0" fontId="13" fillId="0" borderId="0" xfId="0" applyFont="1"/>
    <xf numFmtId="0" fontId="1" fillId="0" borderId="0" xfId="0" applyFont="1"/>
    <xf numFmtId="0" fontId="0" fillId="0" borderId="0" xfId="0" applyAlignment="1">
      <alignment horizontal="left" indent="1"/>
    </xf>
    <xf numFmtId="9" fontId="0" fillId="0" borderId="0" xfId="0" applyNumberFormat="1"/>
    <xf numFmtId="0" fontId="14" fillId="0" borderId="0" xfId="0" applyFont="1"/>
    <xf numFmtId="9" fontId="14" fillId="0" borderId="0" xfId="0" applyNumberFormat="1" applyFont="1"/>
    <xf numFmtId="168" fontId="14" fillId="0" borderId="12" xfId="0" applyNumberFormat="1" applyFont="1" applyBorder="1"/>
    <xf numFmtId="168" fontId="14" fillId="0" borderId="13" xfId="0" applyNumberFormat="1" applyFont="1" applyBorder="1"/>
    <xf numFmtId="168" fontId="14" fillId="0" borderId="14" xfId="0" applyNumberFormat="1" applyFont="1" applyBorder="1"/>
    <xf numFmtId="168" fontId="14" fillId="0" borderId="15" xfId="0" applyNumberFormat="1" applyFont="1" applyBorder="1"/>
    <xf numFmtId="168" fontId="14" fillId="0" borderId="0" xfId="0" applyNumberFormat="1" applyFont="1"/>
    <xf numFmtId="168" fontId="14" fillId="0" borderId="16" xfId="0" applyNumberFormat="1" applyFont="1" applyBorder="1"/>
    <xf numFmtId="168" fontId="14" fillId="0" borderId="17" xfId="0" applyNumberFormat="1" applyFont="1" applyBorder="1"/>
    <xf numFmtId="168" fontId="14" fillId="0" borderId="18" xfId="0" applyNumberFormat="1" applyFont="1" applyBorder="1"/>
    <xf numFmtId="168" fontId="14" fillId="0" borderId="19" xfId="0" applyNumberFormat="1" applyFont="1" applyBorder="1"/>
    <xf numFmtId="9" fontId="0" fillId="0" borderId="20" xfId="0" applyNumberFormat="1" applyBorder="1"/>
    <xf numFmtId="9" fontId="0" fillId="0" borderId="21" xfId="0" applyNumberFormat="1" applyBorder="1"/>
    <xf numFmtId="9" fontId="0" fillId="0" borderId="22" xfId="0" applyNumberFormat="1" applyBorder="1"/>
    <xf numFmtId="168" fontId="1" fillId="0" borderId="20" xfId="0" applyNumberFormat="1" applyFont="1" applyBorder="1"/>
    <xf numFmtId="168" fontId="1" fillId="0" borderId="21" xfId="0" applyNumberFormat="1" applyFont="1" applyBorder="1"/>
    <xf numFmtId="168" fontId="1" fillId="0" borderId="22" xfId="0" applyNumberFormat="1" applyFont="1" applyBorder="1"/>
    <xf numFmtId="9" fontId="9" fillId="0" borderId="14" xfId="0" applyNumberFormat="1" applyFont="1" applyBorder="1"/>
    <xf numFmtId="9" fontId="9" fillId="0" borderId="16" xfId="0" applyNumberFormat="1" applyFont="1" applyBorder="1"/>
    <xf numFmtId="168" fontId="9" fillId="0" borderId="12" xfId="0" applyNumberFormat="1" applyFont="1" applyBorder="1"/>
    <xf numFmtId="168" fontId="9" fillId="0" borderId="13" xfId="0" applyNumberFormat="1" applyFont="1" applyBorder="1"/>
    <xf numFmtId="168" fontId="9" fillId="0" borderId="14" xfId="0" applyNumberFormat="1" applyFont="1" applyBorder="1"/>
    <xf numFmtId="168" fontId="9" fillId="0" borderId="15" xfId="0" applyNumberFormat="1" applyFont="1" applyBorder="1"/>
    <xf numFmtId="168" fontId="9" fillId="0" borderId="0" xfId="0" applyNumberFormat="1" applyFont="1"/>
    <xf numFmtId="168" fontId="9" fillId="0" borderId="16" xfId="0" applyNumberFormat="1" applyFont="1" applyBorder="1"/>
    <xf numFmtId="167" fontId="0" fillId="0" borderId="0" xfId="0" applyNumberFormat="1"/>
    <xf numFmtId="167" fontId="9" fillId="0" borderId="18" xfId="0" applyNumberFormat="1" applyFont="1" applyBorder="1"/>
    <xf numFmtId="167" fontId="9" fillId="0" borderId="19" xfId="0" applyNumberFormat="1" applyFont="1" applyBorder="1"/>
    <xf numFmtId="3" fontId="14" fillId="0" borderId="12" xfId="0" applyNumberFormat="1" applyFont="1" applyBorder="1"/>
    <xf numFmtId="3" fontId="14" fillId="0" borderId="13" xfId="0" applyNumberFormat="1" applyFont="1" applyBorder="1"/>
    <xf numFmtId="3" fontId="14" fillId="0" borderId="14" xfId="0" applyNumberFormat="1" applyFont="1" applyBorder="1"/>
    <xf numFmtId="3" fontId="14" fillId="0" borderId="15" xfId="0" applyNumberFormat="1" applyFont="1" applyBorder="1"/>
    <xf numFmtId="3" fontId="14" fillId="0" borderId="0" xfId="0" applyNumberFormat="1" applyFont="1"/>
    <xf numFmtId="3" fontId="14" fillId="0" borderId="16" xfId="0" applyNumberFormat="1" applyFont="1" applyBorder="1"/>
    <xf numFmtId="3" fontId="14" fillId="0" borderId="17" xfId="0" applyNumberFormat="1" applyFont="1" applyBorder="1"/>
    <xf numFmtId="3" fontId="14" fillId="0" borderId="18" xfId="0" applyNumberFormat="1" applyFont="1" applyBorder="1"/>
    <xf numFmtId="3" fontId="14" fillId="0" borderId="19" xfId="0" applyNumberFormat="1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6" fillId="0" borderId="0" xfId="0" applyNumberFormat="1" applyFont="1"/>
    <xf numFmtId="165" fontId="6" fillId="0" borderId="23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167" fontId="10" fillId="0" borderId="20" xfId="0" applyNumberFormat="1" applyFont="1" applyBorder="1"/>
    <xf numFmtId="167" fontId="10" fillId="0" borderId="21" xfId="0" applyNumberFormat="1" applyFont="1" applyBorder="1"/>
    <xf numFmtId="3" fontId="0" fillId="0" borderId="21" xfId="0" applyNumberFormat="1" applyBorder="1"/>
    <xf numFmtId="14" fontId="14" fillId="0" borderId="0" xfId="0" applyNumberFormat="1" applyFont="1"/>
    <xf numFmtId="169" fontId="14" fillId="0" borderId="0" xfId="0" applyNumberFormat="1" applyFont="1"/>
    <xf numFmtId="164" fontId="0" fillId="0" borderId="0" xfId="0" applyNumberFormat="1"/>
    <xf numFmtId="0" fontId="1" fillId="0" borderId="23" xfId="0" applyFont="1" applyBorder="1"/>
    <xf numFmtId="0" fontId="1" fillId="0" borderId="10" xfId="0" applyFont="1" applyBorder="1"/>
    <xf numFmtId="10" fontId="0" fillId="0" borderId="0" xfId="0" applyNumberFormat="1"/>
    <xf numFmtId="3" fontId="14" fillId="0" borderId="0" xfId="0" applyNumberFormat="1" applyFont="1" applyAlignment="1">
      <alignment horizontal="left"/>
    </xf>
    <xf numFmtId="9" fontId="14" fillId="0" borderId="0" xfId="0" applyNumberFormat="1" applyFont="1" applyAlignment="1">
      <alignment horizontal="left"/>
    </xf>
    <xf numFmtId="10" fontId="0" fillId="0" borderId="0" xfId="0" applyNumberFormat="1" applyAlignment="1">
      <alignment horizontal="left"/>
    </xf>
    <xf numFmtId="3" fontId="14" fillId="0" borderId="0" xfId="0" applyNumberFormat="1" applyFont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0" fillId="0" borderId="24" xfId="0" applyBorder="1"/>
    <xf numFmtId="10" fontId="0" fillId="0" borderId="24" xfId="0" applyNumberFormat="1" applyBorder="1"/>
    <xf numFmtId="9" fontId="0" fillId="0" borderId="10" xfId="0" applyNumberFormat="1" applyBorder="1" applyAlignment="1">
      <alignment horizontal="left"/>
    </xf>
    <xf numFmtId="10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9" fontId="0" fillId="0" borderId="24" xfId="0" applyNumberFormat="1" applyBorder="1" applyAlignment="1">
      <alignment horizontal="left"/>
    </xf>
    <xf numFmtId="10" fontId="0" fillId="0" borderId="24" xfId="0" applyNumberFormat="1" applyBorder="1" applyAlignment="1">
      <alignment horizontal="left"/>
    </xf>
    <xf numFmtId="2" fontId="0" fillId="0" borderId="24" xfId="0" applyNumberFormat="1" applyBorder="1" applyAlignment="1">
      <alignment horizontal="left"/>
    </xf>
    <xf numFmtId="0" fontId="14" fillId="0" borderId="24" xfId="0" applyFont="1" applyBorder="1"/>
    <xf numFmtId="3" fontId="14" fillId="0" borderId="24" xfId="0" applyNumberFormat="1" applyFont="1" applyBorder="1"/>
    <xf numFmtId="0" fontId="1" fillId="0" borderId="24" xfId="0" applyFont="1" applyBorder="1"/>
    <xf numFmtId="0" fontId="14" fillId="0" borderId="0" xfId="0" applyFont="1" applyAlignment="1">
      <alignment horizontal="left"/>
    </xf>
    <xf numFmtId="0" fontId="14" fillId="0" borderId="24" xfId="0" applyFont="1" applyBorder="1" applyAlignment="1">
      <alignment horizontal="left"/>
    </xf>
    <xf numFmtId="0" fontId="1" fillId="0" borderId="23" xfId="0" applyFont="1" applyBorder="1" applyAlignment="1">
      <alignment horizontal="right"/>
    </xf>
    <xf numFmtId="0" fontId="1" fillId="0" borderId="23" xfId="0" applyFont="1" applyBorder="1" applyAlignment="1">
      <alignment horizontal="center"/>
    </xf>
    <xf numFmtId="9" fontId="14" fillId="0" borderId="0" xfId="0" applyNumberFormat="1" applyFont="1" applyAlignment="1">
      <alignment horizontal="center"/>
    </xf>
    <xf numFmtId="9" fontId="14" fillId="0" borderId="24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right" vertical="center"/>
    </xf>
    <xf numFmtId="3" fontId="14" fillId="0" borderId="24" xfId="0" applyNumberFormat="1" applyFont="1" applyBorder="1" applyAlignment="1">
      <alignment horizontal="right"/>
    </xf>
    <xf numFmtId="10" fontId="14" fillId="0" borderId="0" xfId="0" applyNumberFormat="1" applyFont="1"/>
    <xf numFmtId="0" fontId="1" fillId="0" borderId="24" xfId="0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7" fontId="10" fillId="0" borderId="14" xfId="0" applyNumberFormat="1" applyFont="1" applyBorder="1" applyAlignment="1">
      <alignment horizontal="right"/>
    </xf>
    <xf numFmtId="9" fontId="10" fillId="0" borderId="19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166" fontId="1" fillId="0" borderId="10" xfId="0" applyNumberFormat="1" applyFont="1" applyBorder="1"/>
    <xf numFmtId="166" fontId="1" fillId="0" borderId="12" xfId="0" applyNumberFormat="1" applyFont="1" applyBorder="1" applyAlignment="1">
      <alignment horizontal="left"/>
    </xf>
    <xf numFmtId="167" fontId="0" fillId="0" borderId="13" xfId="0" applyNumberFormat="1" applyBorder="1" applyAlignment="1">
      <alignment horizontal="left"/>
    </xf>
    <xf numFmtId="166" fontId="1" fillId="0" borderId="15" xfId="0" applyNumberFormat="1" applyFont="1" applyBorder="1" applyAlignment="1">
      <alignment horizontal="left"/>
    </xf>
    <xf numFmtId="167" fontId="0" fillId="0" borderId="0" xfId="0" applyNumberFormat="1" applyAlignment="1">
      <alignment horizontal="left"/>
    </xf>
    <xf numFmtId="166" fontId="1" fillId="0" borderId="17" xfId="0" applyNumberFormat="1" applyFont="1" applyBorder="1" applyAlignment="1">
      <alignment horizontal="left"/>
    </xf>
    <xf numFmtId="167" fontId="0" fillId="0" borderId="18" xfId="0" applyNumberFormat="1" applyBorder="1" applyAlignment="1">
      <alignment horizontal="left"/>
    </xf>
    <xf numFmtId="9" fontId="9" fillId="0" borderId="19" xfId="0" applyNumberFormat="1" applyFont="1" applyBorder="1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49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 indent="1"/>
    </xf>
    <xf numFmtId="0" fontId="3" fillId="0" borderId="0" xfId="0" applyFont="1"/>
    <xf numFmtId="167" fontId="1" fillId="0" borderId="13" xfId="0" applyNumberFormat="1" applyFont="1" applyBorder="1"/>
    <xf numFmtId="167" fontId="1" fillId="0" borderId="9" xfId="0" applyNumberFormat="1" applyFont="1" applyBorder="1"/>
    <xf numFmtId="167" fontId="0" fillId="0" borderId="13" xfId="0" applyNumberFormat="1" applyBorder="1"/>
    <xf numFmtId="167" fontId="0" fillId="0" borderId="14" xfId="0" applyNumberFormat="1" applyBorder="1"/>
    <xf numFmtId="167" fontId="0" fillId="0" borderId="19" xfId="0" applyNumberFormat="1" applyBorder="1"/>
    <xf numFmtId="0" fontId="1" fillId="0" borderId="24" xfId="0" applyFont="1" applyBorder="1" applyAlignment="1">
      <alignment horizontal="right"/>
    </xf>
    <xf numFmtId="10" fontId="1" fillId="0" borderId="9" xfId="0" applyNumberFormat="1" applyFont="1" applyBorder="1"/>
    <xf numFmtId="170" fontId="14" fillId="0" borderId="0" xfId="0" applyNumberFormat="1" applyFont="1"/>
    <xf numFmtId="0" fontId="0" fillId="0" borderId="15" xfId="0" applyBorder="1"/>
    <xf numFmtId="167" fontId="0" fillId="0" borderId="16" xfId="0" applyNumberFormat="1" applyBorder="1"/>
    <xf numFmtId="167" fontId="0" fillId="0" borderId="22" xfId="0" applyNumberFormat="1" applyBorder="1"/>
    <xf numFmtId="0" fontId="18" fillId="0" borderId="18" xfId="0" applyFont="1" applyBorder="1" applyAlignment="1">
      <alignment horizontal="center"/>
    </xf>
    <xf numFmtId="0" fontId="2" fillId="0" borderId="0" xfId="0" applyFont="1"/>
    <xf numFmtId="167" fontId="4" fillId="0" borderId="16" xfId="0" applyNumberFormat="1" applyFont="1" applyBorder="1"/>
    <xf numFmtId="167" fontId="4" fillId="0" borderId="19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left" indent="1"/>
    </xf>
    <xf numFmtId="167" fontId="0" fillId="0" borderId="18" xfId="0" applyNumberFormat="1" applyBorder="1"/>
    <xf numFmtId="0" fontId="0" fillId="0" borderId="11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66" fontId="1" fillId="0" borderId="28" xfId="0" applyNumberFormat="1" applyFont="1" applyBorder="1"/>
    <xf numFmtId="166" fontId="1" fillId="0" borderId="28" xfId="0" applyNumberFormat="1" applyFont="1" applyBorder="1" applyAlignment="1">
      <alignment horizontal="right"/>
    </xf>
    <xf numFmtId="166" fontId="8" fillId="0" borderId="29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18" fillId="0" borderId="0" xfId="0" applyFont="1" applyAlignment="1">
      <alignment horizontal="left" indent="3"/>
    </xf>
    <xf numFmtId="0" fontId="21" fillId="0" borderId="0" xfId="0" applyFont="1"/>
    <xf numFmtId="167" fontId="0" fillId="0" borderId="20" xfId="0" applyNumberFormat="1" applyBorder="1"/>
    <xf numFmtId="0" fontId="0" fillId="0" borderId="0" xfId="0" applyAlignment="1">
      <alignment horizontal="center"/>
    </xf>
    <xf numFmtId="170" fontId="0" fillId="0" borderId="0" xfId="0" applyNumberFormat="1"/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8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7" fontId="4" fillId="0" borderId="0" xfId="0" applyNumberFormat="1" applyFont="1"/>
    <xf numFmtId="167" fontId="4" fillId="0" borderId="12" xfId="0" applyNumberFormat="1" applyFont="1" applyBorder="1"/>
    <xf numFmtId="167" fontId="4" fillId="0" borderId="13" xfId="0" applyNumberFormat="1" applyFont="1" applyBorder="1"/>
    <xf numFmtId="167" fontId="4" fillId="0" borderId="14" xfId="0" applyNumberFormat="1" applyFont="1" applyBorder="1"/>
    <xf numFmtId="167" fontId="4" fillId="0" borderId="15" xfId="0" applyNumberFormat="1" applyFont="1" applyBorder="1"/>
    <xf numFmtId="167" fontId="4" fillId="0" borderId="17" xfId="0" applyNumberFormat="1" applyFont="1" applyBorder="1"/>
    <xf numFmtId="167" fontId="4" fillId="0" borderId="18" xfId="0" applyNumberFormat="1" applyFont="1" applyBorder="1"/>
    <xf numFmtId="167" fontId="4" fillId="0" borderId="19" xfId="0" applyNumberFormat="1" applyFont="1" applyBorder="1"/>
    <xf numFmtId="0" fontId="23" fillId="0" borderId="0" xfId="0" applyFont="1"/>
    <xf numFmtId="168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 vertical="center"/>
    </xf>
    <xf numFmtId="0" fontId="2" fillId="0" borderId="24" xfId="0" applyFont="1" applyBorder="1"/>
    <xf numFmtId="0" fontId="1" fillId="0" borderId="0" xfId="0" applyFont="1" applyAlignment="1">
      <alignment horizontal="left" indent="5"/>
    </xf>
    <xf numFmtId="168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 vertical="center"/>
    </xf>
    <xf numFmtId="167" fontId="4" fillId="0" borderId="12" xfId="0" applyNumberFormat="1" applyFont="1" applyBorder="1" applyAlignment="1">
      <alignment horizontal="center"/>
    </xf>
    <xf numFmtId="167" fontId="4" fillId="0" borderId="13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7" fontId="4" fillId="0" borderId="16" xfId="0" applyNumberFormat="1" applyFont="1" applyBorder="1" applyAlignment="1">
      <alignment horizontal="center"/>
    </xf>
    <xf numFmtId="167" fontId="21" fillId="3" borderId="0" xfId="0" applyNumberFormat="1" applyFont="1" applyFill="1" applyAlignment="1">
      <alignment horizontal="center"/>
    </xf>
    <xf numFmtId="167" fontId="4" fillId="0" borderId="17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167" fontId="2" fillId="0" borderId="0" xfId="0" applyNumberFormat="1" applyFont="1"/>
    <xf numFmtId="0" fontId="0" fillId="0" borderId="12" xfId="0" applyBorder="1" applyAlignment="1">
      <alignment horizontal="left" indent="1"/>
    </xf>
    <xf numFmtId="170" fontId="0" fillId="0" borderId="14" xfId="0" applyNumberFormat="1" applyBorder="1"/>
    <xf numFmtId="0" fontId="0" fillId="0" borderId="17" xfId="0" applyBorder="1" applyAlignment="1">
      <alignment horizontal="left" indent="1"/>
    </xf>
    <xf numFmtId="10" fontId="0" fillId="0" borderId="19" xfId="0" applyNumberFormat="1" applyBorder="1"/>
    <xf numFmtId="0" fontId="8" fillId="0" borderId="0" xfId="0" applyFont="1" applyAlignment="1">
      <alignment horizontal="left"/>
    </xf>
    <xf numFmtId="172" fontId="4" fillId="0" borderId="12" xfId="0" applyNumberFormat="1" applyFont="1" applyBorder="1" applyAlignment="1">
      <alignment horizontal="center"/>
    </xf>
    <xf numFmtId="172" fontId="4" fillId="0" borderId="0" xfId="0" applyNumberFormat="1" applyFont="1" applyAlignment="1">
      <alignment horizontal="center"/>
    </xf>
    <xf numFmtId="172" fontId="4" fillId="0" borderId="13" xfId="0" applyNumberFormat="1" applyFont="1" applyBorder="1" applyAlignment="1">
      <alignment horizontal="center"/>
    </xf>
    <xf numFmtId="172" fontId="4" fillId="0" borderId="14" xfId="0" applyNumberFormat="1" applyFont="1" applyBorder="1" applyAlignment="1">
      <alignment horizontal="center"/>
    </xf>
    <xf numFmtId="172" fontId="4" fillId="0" borderId="15" xfId="0" applyNumberFormat="1" applyFont="1" applyBorder="1" applyAlignment="1">
      <alignment horizontal="center"/>
    </xf>
    <xf numFmtId="172" fontId="4" fillId="0" borderId="16" xfId="0" applyNumberFormat="1" applyFont="1" applyBorder="1" applyAlignment="1">
      <alignment horizontal="center"/>
    </xf>
    <xf numFmtId="172" fontId="4" fillId="0" borderId="17" xfId="0" applyNumberFormat="1" applyFont="1" applyBorder="1" applyAlignment="1">
      <alignment horizontal="center"/>
    </xf>
    <xf numFmtId="172" fontId="4" fillId="0" borderId="18" xfId="0" applyNumberFormat="1" applyFont="1" applyBorder="1" applyAlignment="1">
      <alignment horizontal="center"/>
    </xf>
    <xf numFmtId="172" fontId="4" fillId="0" borderId="19" xfId="0" applyNumberFormat="1" applyFont="1" applyBorder="1" applyAlignment="1">
      <alignment horizontal="center"/>
    </xf>
    <xf numFmtId="172" fontId="21" fillId="3" borderId="0" xfId="0" applyNumberFormat="1" applyFont="1" applyFill="1" applyAlignment="1">
      <alignment horizontal="center"/>
    </xf>
    <xf numFmtId="0" fontId="24" fillId="0" borderId="4" xfId="0" applyFont="1" applyBorder="1" applyAlignment="1">
      <alignment horizontal="left" indent="4"/>
    </xf>
    <xf numFmtId="0" fontId="25" fillId="0" borderId="4" xfId="0" applyFont="1" applyBorder="1" applyAlignment="1">
      <alignment horizontal="left" indent="4"/>
    </xf>
    <xf numFmtId="0" fontId="22" fillId="0" borderId="0" xfId="3"/>
    <xf numFmtId="0" fontId="26" fillId="0" borderId="12" xfId="0" applyFont="1" applyBorder="1"/>
    <xf numFmtId="0" fontId="7" fillId="0" borderId="15" xfId="0" applyFont="1" applyBorder="1"/>
    <xf numFmtId="0" fontId="27" fillId="0" borderId="17" xfId="0" applyFont="1" applyBorder="1"/>
    <xf numFmtId="0" fontId="12" fillId="2" borderId="0" xfId="0" applyFont="1" applyFill="1" applyProtection="1">
      <protection locked="0"/>
    </xf>
    <xf numFmtId="0" fontId="1" fillId="0" borderId="0" xfId="0" applyFont="1" applyAlignment="1">
      <alignment horizontal="right" vertical="center" textRotation="90"/>
    </xf>
  </cellXfs>
  <cellStyles count="4">
    <cellStyle name="Comma 2" xfId="2" xr:uid="{566622A1-13E4-489A-8BCB-8AA77202A31B}"/>
    <cellStyle name="Hyperlink" xfId="3" builtinId="8"/>
    <cellStyle name="Normal" xfId="0" builtinId="0"/>
    <cellStyle name="Normal 2" xfId="1" xr:uid="{22BFCE51-2CFF-4D4F-87F4-2512FE5D15C2}"/>
  </cellStyles>
  <dxfs count="0"/>
  <tableStyles count="0" defaultTableStyle="TableStyleMedium2" defaultPivotStyle="PivotStyleLight16"/>
  <colors>
    <mruColors>
      <color rgb="FF0F2D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ctrlProps/ctrlProp2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mailto:aaravsingh.corp@outlook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aaravsingh-corp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13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7CB15E-A249-45F4-9763-A344DA276278}"/>
            </a:ext>
          </a:extLst>
        </xdr:cNvPr>
        <xdr:cNvSpPr/>
      </xdr:nvSpPr>
      <xdr:spPr>
        <a:xfrm>
          <a:off x="609600" y="198120"/>
          <a:ext cx="731520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160020</xdr:rowOff>
    </xdr:from>
    <xdr:to>
      <xdr:col>5</xdr:col>
      <xdr:colOff>601980</xdr:colOff>
      <xdr:row>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07037A-9346-432F-9387-F6435F399BE1}"/>
            </a:ext>
          </a:extLst>
        </xdr:cNvPr>
        <xdr:cNvSpPr txBox="1"/>
      </xdr:nvSpPr>
      <xdr:spPr>
        <a:xfrm>
          <a:off x="609600" y="160020"/>
          <a:ext cx="304038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 b="1">
              <a:solidFill>
                <a:schemeClr val="bg1"/>
              </a:solidFill>
              <a:latin typeface="Aptos" panose="020B0004020202020204" pitchFamily="34" charset="0"/>
            </a:rPr>
            <a:t>Aarav</a:t>
          </a:r>
          <a:r>
            <a:rPr lang="en-US" sz="2500" b="1" baseline="0">
              <a:solidFill>
                <a:schemeClr val="bg1"/>
              </a:solidFill>
              <a:latin typeface="Aptos" panose="020B0004020202020204" pitchFamily="34" charset="0"/>
            </a:rPr>
            <a:t> Singh, FMVA</a:t>
          </a:r>
          <a:r>
            <a:rPr lang="en-US" sz="2800" b="1" i="0">
              <a:solidFill>
                <a:schemeClr val="bg1"/>
              </a:solidFill>
              <a:effectLst/>
              <a:latin typeface="Aptos" panose="020B0004020202020204" pitchFamily="34" charset="0"/>
            </a:rPr>
            <a:t>®</a:t>
          </a:r>
          <a:endParaRPr lang="en-US" sz="25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220980</xdr:colOff>
      <xdr:row>3</xdr:row>
      <xdr:rowOff>167640</xdr:rowOff>
    </xdr:from>
    <xdr:to>
      <xdr:col>1</xdr:col>
      <xdr:colOff>495300</xdr:colOff>
      <xdr:row>5</xdr:row>
      <xdr:rowOff>76200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5319D-B3F3-42FB-9B5F-C9D65F8B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73152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22861</xdr:colOff>
      <xdr:row>3</xdr:row>
      <xdr:rowOff>156812</xdr:rowOff>
    </xdr:from>
    <xdr:to>
      <xdr:col>2</xdr:col>
      <xdr:colOff>315808</xdr:colOff>
      <xdr:row>5</xdr:row>
      <xdr:rowOff>68580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FCAE80-B9EC-46F4-AD51-FAE961C27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1" y="720692"/>
          <a:ext cx="292947" cy="2775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9</xdr:row>
      <xdr:rowOff>177604</xdr:rowOff>
    </xdr:from>
    <xdr:to>
      <xdr:col>12</xdr:col>
      <xdr:colOff>423203</xdr:colOff>
      <xdr:row>13</xdr:row>
      <xdr:rowOff>112541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2E7E20-972F-5BD1-0224-BF7FE098341A}"/>
            </a:ext>
          </a:extLst>
        </xdr:cNvPr>
        <xdr:cNvSpPr/>
      </xdr:nvSpPr>
      <xdr:spPr>
        <a:xfrm>
          <a:off x="7673926" y="1836419"/>
          <a:ext cx="1078523" cy="966568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16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AB930E-3F0D-48CD-AF3D-A61FF86A85D5}"/>
            </a:ext>
          </a:extLst>
        </xdr:cNvPr>
        <xdr:cNvSpPr/>
      </xdr:nvSpPr>
      <xdr:spPr>
        <a:xfrm>
          <a:off x="670560" y="0"/>
          <a:ext cx="986028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220980</xdr:colOff>
          <xdr:row>8</xdr:row>
          <xdr:rowOff>0</xdr:rowOff>
        </xdr:to>
        <xdr:sp macro="" textlink="">
          <xdr:nvSpPr>
            <xdr:cNvPr id="7172" name="Drop Dow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1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14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7459EDA-5EB5-41A3-A5C0-8087D7F1B1E5}"/>
            </a:ext>
          </a:extLst>
        </xdr:cNvPr>
        <xdr:cNvSpPr/>
      </xdr:nvSpPr>
      <xdr:spPr>
        <a:xfrm>
          <a:off x="670560" y="0"/>
          <a:ext cx="871728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160020</xdr:colOff>
          <xdr:row>8</xdr:row>
          <xdr:rowOff>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04DA4C-04B6-44A8-B40B-D149691A885E}"/>
            </a:ext>
          </a:extLst>
        </xdr:cNvPr>
        <xdr:cNvSpPr/>
      </xdr:nvSpPr>
      <xdr:spPr>
        <a:xfrm>
          <a:off x="670560" y="0"/>
          <a:ext cx="871728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79F2-AAB1-4EDB-9E53-C8F09D135468}">
  <dimension ref="B1:M32"/>
  <sheetViews>
    <sheetView showGridLines="0" tabSelected="1" zoomScale="130" zoomScaleNormal="130" workbookViewId="0">
      <selection activeCell="G15" sqref="G15"/>
    </sheetView>
  </sheetViews>
  <sheetFormatPr defaultRowHeight="14.4" x14ac:dyDescent="0.3"/>
  <cols>
    <col min="2" max="2" width="8.59765625" customWidth="1"/>
    <col min="12" max="12" width="13" customWidth="1"/>
  </cols>
  <sheetData>
    <row r="1" spans="2:13" ht="15" thickBot="1" x14ac:dyDescent="0.35"/>
    <row r="2" spans="2:13" ht="15" thickTop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2:13" x14ac:dyDescent="0.3">
      <c r="B3" s="6"/>
      <c r="M3" s="7"/>
    </row>
    <row r="4" spans="2:13" x14ac:dyDescent="0.3">
      <c r="B4" s="6"/>
      <c r="M4" s="7"/>
    </row>
    <row r="5" spans="2:13" x14ac:dyDescent="0.3">
      <c r="B5" s="6"/>
      <c r="M5" s="7"/>
    </row>
    <row r="6" spans="2:13" x14ac:dyDescent="0.3">
      <c r="B6" s="6"/>
      <c r="M6" s="7"/>
    </row>
    <row r="7" spans="2:13" x14ac:dyDescent="0.3">
      <c r="B7" s="6"/>
      <c r="M7" s="7"/>
    </row>
    <row r="8" spans="2:13" x14ac:dyDescent="0.3">
      <c r="B8" s="6"/>
      <c r="M8" s="7"/>
    </row>
    <row r="9" spans="2:13" x14ac:dyDescent="0.3">
      <c r="B9" s="6"/>
      <c r="M9" s="7"/>
    </row>
    <row r="10" spans="2:13" x14ac:dyDescent="0.3">
      <c r="B10" s="6"/>
      <c r="M10" s="7"/>
    </row>
    <row r="11" spans="2:13" ht="31.2" x14ac:dyDescent="0.6">
      <c r="B11" s="232" t="s">
        <v>277</v>
      </c>
      <c r="M11" s="7"/>
    </row>
    <row r="12" spans="2:13" x14ac:dyDescent="0.3">
      <c r="B12" s="6"/>
      <c r="M12" s="7"/>
    </row>
    <row r="13" spans="2:13" ht="21" x14ac:dyDescent="0.4">
      <c r="B13" s="233" t="s">
        <v>278</v>
      </c>
      <c r="M13" s="7"/>
    </row>
    <row r="14" spans="2:13" x14ac:dyDescent="0.3">
      <c r="B14" s="6"/>
      <c r="M14" s="7"/>
    </row>
    <row r="15" spans="2:13" x14ac:dyDescent="0.3">
      <c r="B15" s="6"/>
      <c r="C15" s="234" t="s">
        <v>279</v>
      </c>
      <c r="M15" s="7"/>
    </row>
    <row r="16" spans="2:13" x14ac:dyDescent="0.3">
      <c r="B16" s="6"/>
      <c r="M16" s="7"/>
    </row>
    <row r="17" spans="2:13" x14ac:dyDescent="0.3">
      <c r="B17" s="6"/>
      <c r="C17" s="234" t="s">
        <v>280</v>
      </c>
      <c r="M17" s="7"/>
    </row>
    <row r="18" spans="2:13" x14ac:dyDescent="0.3">
      <c r="B18" s="6"/>
      <c r="M18" s="7"/>
    </row>
    <row r="19" spans="2:13" x14ac:dyDescent="0.3">
      <c r="B19" s="6"/>
      <c r="C19" s="234" t="s">
        <v>281</v>
      </c>
      <c r="M19" s="7"/>
    </row>
    <row r="20" spans="2:13" x14ac:dyDescent="0.3">
      <c r="B20" s="6"/>
      <c r="M20" s="7"/>
    </row>
    <row r="21" spans="2:13" x14ac:dyDescent="0.3">
      <c r="B21" s="6"/>
      <c r="M21" s="7"/>
    </row>
    <row r="22" spans="2:13" x14ac:dyDescent="0.3">
      <c r="B22" s="6"/>
      <c r="M22" s="7"/>
    </row>
    <row r="23" spans="2:13" x14ac:dyDescent="0.3">
      <c r="B23" s="6"/>
      <c r="M23" s="7"/>
    </row>
    <row r="24" spans="2:13" ht="15.6" x14ac:dyDescent="0.3">
      <c r="B24" s="6"/>
      <c r="C24" s="235" t="s">
        <v>282</v>
      </c>
      <c r="D24" s="126"/>
      <c r="E24" s="126"/>
      <c r="F24" s="126"/>
      <c r="G24" s="126"/>
      <c r="H24" s="126"/>
      <c r="I24" s="126"/>
      <c r="J24" s="126"/>
      <c r="K24" s="126"/>
      <c r="L24" s="143"/>
      <c r="M24" s="7"/>
    </row>
    <row r="25" spans="2:13" x14ac:dyDescent="0.3">
      <c r="B25" s="6"/>
      <c r="C25" s="236" t="s">
        <v>283</v>
      </c>
      <c r="L25" s="144"/>
      <c r="M25" s="7"/>
    </row>
    <row r="26" spans="2:13" x14ac:dyDescent="0.3">
      <c r="B26" s="6"/>
      <c r="C26" s="236" t="s">
        <v>284</v>
      </c>
      <c r="L26" s="144"/>
      <c r="M26" s="7"/>
    </row>
    <row r="27" spans="2:13" x14ac:dyDescent="0.3">
      <c r="B27" s="6"/>
      <c r="C27" s="236" t="s">
        <v>286</v>
      </c>
      <c r="L27" s="144"/>
      <c r="M27" s="7"/>
    </row>
    <row r="28" spans="2:13" x14ac:dyDescent="0.3">
      <c r="B28" s="6"/>
      <c r="C28" s="237" t="s">
        <v>285</v>
      </c>
      <c r="D28" s="128"/>
      <c r="E28" s="128"/>
      <c r="F28" s="128"/>
      <c r="G28" s="128"/>
      <c r="H28" s="128"/>
      <c r="I28" s="128"/>
      <c r="J28" s="128"/>
      <c r="K28" s="128"/>
      <c r="L28" s="145"/>
      <c r="M28" s="7"/>
    </row>
    <row r="29" spans="2:13" x14ac:dyDescent="0.3">
      <c r="B29" s="6"/>
      <c r="M29" s="7"/>
    </row>
    <row r="30" spans="2:13" x14ac:dyDescent="0.3">
      <c r="B30" s="6"/>
      <c r="M30" s="7"/>
    </row>
    <row r="31" spans="2:13" ht="15" thickBot="1" x14ac:dyDescent="0.3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spans="2:13" ht="15" thickTop="1" x14ac:dyDescent="0.3"/>
  </sheetData>
  <sheetProtection algorithmName="SHA-512" hashValue="VTe6ZfJFO35SjFt6OVBdpVag5n/YL09MWzEjV9YgGq7gtsus+FwsXCmOdBfa3bezzt6ZuSL0Q9Gi6/4DwUqA/w==" saltValue="RUHxhqeQqkeYAGUXDFSfbA==" spinCount="100000" sheet="1" objects="1" scenarios="1"/>
  <hyperlinks>
    <hyperlink ref="C15" location="Outputs!A1" display="Outputs" xr:uid="{C41E2E69-3318-4DAA-8BB6-D80983A7B3ED}"/>
    <hyperlink ref="C17" location="Inputs!A1" display="Inputs" xr:uid="{9B6BFF8C-A409-46F9-8EFE-F9ECD240E99E}"/>
    <hyperlink ref="C19" location="Model!A1" display="Model" xr:uid="{40111E99-6E75-433B-B41D-714064ACC7B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E7B2-4A9F-4B6D-9F0B-A9B4CDCCB988}">
  <dimension ref="B8:P47"/>
  <sheetViews>
    <sheetView showGridLines="0" zoomScaleNormal="100" workbookViewId="0"/>
  </sheetViews>
  <sheetFormatPr defaultRowHeight="14.4" x14ac:dyDescent="0.3"/>
  <cols>
    <col min="2" max="2" width="4.59765625" customWidth="1"/>
    <col min="3" max="3" width="11.09765625" customWidth="1"/>
    <col min="4" max="4" width="10.3984375" customWidth="1"/>
    <col min="5" max="5" width="9.296875" customWidth="1"/>
    <col min="6" max="6" width="9" customWidth="1"/>
    <col min="10" max="10" width="3.09765625" customWidth="1"/>
    <col min="11" max="11" width="10" customWidth="1"/>
    <col min="14" max="14" width="10.296875" customWidth="1"/>
  </cols>
  <sheetData>
    <row r="8" spans="2:16" ht="18" x14ac:dyDescent="0.35">
      <c r="B8" s="12" t="s">
        <v>257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spans="2:16" x14ac:dyDescent="0.3">
      <c r="B10" s="13" t="s">
        <v>135</v>
      </c>
    </row>
    <row r="13" spans="2:16" x14ac:dyDescent="0.3">
      <c r="C13" s="112" t="s">
        <v>258</v>
      </c>
      <c r="D13" s="102"/>
      <c r="E13" s="102"/>
      <c r="F13" s="102"/>
      <c r="G13" s="102"/>
      <c r="H13" s="102"/>
      <c r="K13" s="112" t="s">
        <v>274</v>
      </c>
      <c r="L13" s="102"/>
      <c r="M13" s="102"/>
      <c r="N13" s="102"/>
      <c r="O13" s="102"/>
      <c r="P13" s="102"/>
    </row>
    <row r="15" spans="2:16" x14ac:dyDescent="0.3">
      <c r="D15" s="189" t="s">
        <v>259</v>
      </c>
      <c r="E15" s="189" t="s">
        <v>194</v>
      </c>
      <c r="F15" s="189" t="s">
        <v>179</v>
      </c>
      <c r="K15" t="s">
        <v>237</v>
      </c>
      <c r="O15" s="184">
        <f>Inputs!E94</f>
        <v>20</v>
      </c>
    </row>
    <row r="16" spans="2:16" x14ac:dyDescent="0.3">
      <c r="D16" s="189" t="s">
        <v>260</v>
      </c>
      <c r="E16" s="189" t="s">
        <v>260</v>
      </c>
      <c r="F16" s="189" t="s">
        <v>261</v>
      </c>
      <c r="K16" t="s">
        <v>262</v>
      </c>
      <c r="O16" s="95">
        <f>Inputs!N88</f>
        <v>0.11590847408237007</v>
      </c>
    </row>
    <row r="17" spans="2:16" x14ac:dyDescent="0.3">
      <c r="D17" s="189"/>
      <c r="E17" s="189"/>
      <c r="F17" s="190" t="s">
        <v>263</v>
      </c>
      <c r="K17" t="s">
        <v>248</v>
      </c>
      <c r="O17" s="191">
        <f>Inputs!E95</f>
        <v>-3649.3900000000003</v>
      </c>
    </row>
    <row r="18" spans="2:16" x14ac:dyDescent="0.3">
      <c r="C18" s="199" t="s">
        <v>152</v>
      </c>
      <c r="D18" s="192">
        <f>Inputs!G109</f>
        <v>572330.77816548292</v>
      </c>
      <c r="E18" s="193">
        <f>D18-$O$17</f>
        <v>575980.16816548293</v>
      </c>
      <c r="F18" s="194">
        <f>E18 / O18</f>
        <v>459.71758972422612</v>
      </c>
      <c r="K18" t="s">
        <v>253</v>
      </c>
      <c r="O18" s="191">
        <f>Inputs!E97</f>
        <v>1252.9000000000001</v>
      </c>
    </row>
    <row r="19" spans="2:16" x14ac:dyDescent="0.3">
      <c r="C19" s="199" t="s">
        <v>153</v>
      </c>
      <c r="D19" s="195">
        <f>Inputs!G110</f>
        <v>515036.09388993948</v>
      </c>
      <c r="E19" s="191">
        <f>D19-$O$17</f>
        <v>518685.4838899395</v>
      </c>
      <c r="F19" s="165">
        <f>E19 / $O$18</f>
        <v>413.98793510251375</v>
      </c>
      <c r="G19" s="183"/>
      <c r="H19" s="183"/>
      <c r="J19" s="81"/>
      <c r="K19" t="s">
        <v>276</v>
      </c>
      <c r="M19" s="184"/>
      <c r="O19" s="191">
        <f>Inputs!E98</f>
        <v>404.5</v>
      </c>
    </row>
    <row r="20" spans="2:16" x14ac:dyDescent="0.3">
      <c r="C20" s="199" t="s">
        <v>154</v>
      </c>
      <c r="D20" s="196">
        <f>Inputs!G111</f>
        <v>464836.82764869672</v>
      </c>
      <c r="E20" s="197">
        <f>D20-$O$17</f>
        <v>468486.21764869674</v>
      </c>
      <c r="F20" s="198">
        <f>E20 / $O$18</f>
        <v>373.92147629395538</v>
      </c>
      <c r="G20" s="183"/>
      <c r="H20" s="183"/>
      <c r="J20" s="81"/>
      <c r="M20" s="95"/>
    </row>
    <row r="21" spans="2:16" x14ac:dyDescent="0.3">
      <c r="F21" s="185"/>
      <c r="G21" s="183"/>
      <c r="H21" s="183"/>
      <c r="M21" s="67"/>
    </row>
    <row r="22" spans="2:16" x14ac:dyDescent="0.3">
      <c r="E22" s="164"/>
      <c r="L22" s="186"/>
      <c r="M22" s="67"/>
    </row>
    <row r="23" spans="2:16" x14ac:dyDescent="0.3">
      <c r="E23" s="164"/>
    </row>
    <row r="24" spans="2:16" x14ac:dyDescent="0.3">
      <c r="C24" s="112" t="s">
        <v>244</v>
      </c>
      <c r="D24" s="102"/>
      <c r="E24" s="202"/>
      <c r="F24" s="102"/>
      <c r="G24" s="102"/>
      <c r="H24" s="102"/>
      <c r="K24" s="112" t="s">
        <v>247</v>
      </c>
      <c r="L24" s="102"/>
      <c r="M24" s="202"/>
      <c r="N24" s="102"/>
      <c r="O24" s="102"/>
      <c r="P24" s="102"/>
    </row>
    <row r="26" spans="2:16" x14ac:dyDescent="0.3">
      <c r="E26" s="203" t="s">
        <v>237</v>
      </c>
      <c r="M26" s="203" t="s">
        <v>237</v>
      </c>
    </row>
    <row r="28" spans="2:16" x14ac:dyDescent="0.3">
      <c r="D28" s="201">
        <f>E28-1</f>
        <v>18</v>
      </c>
      <c r="E28" s="201">
        <f>F28-1</f>
        <v>19</v>
      </c>
      <c r="F28" s="205">
        <f>Inputs!E94</f>
        <v>20</v>
      </c>
      <c r="G28" s="201">
        <f>F28+1</f>
        <v>21</v>
      </c>
      <c r="H28" s="201">
        <f t="shared" ref="H28" si="0">G28+1</f>
        <v>22</v>
      </c>
      <c r="L28" s="201">
        <f>M28-1</f>
        <v>18</v>
      </c>
      <c r="M28" s="201">
        <f>N28-1</f>
        <v>19</v>
      </c>
      <c r="N28" s="205">
        <f>O15</f>
        <v>20</v>
      </c>
      <c r="O28" s="201">
        <f>N28+1</f>
        <v>21</v>
      </c>
      <c r="P28" s="201">
        <f t="shared" ref="P28" si="1">O28+1</f>
        <v>22</v>
      </c>
    </row>
    <row r="29" spans="2:16" ht="14.4" customHeight="1" x14ac:dyDescent="0.3">
      <c r="B29" s="239" t="s">
        <v>262</v>
      </c>
      <c r="C29" s="200">
        <f>C30-0.01</f>
        <v>9.5908474082370077E-2</v>
      </c>
      <c r="D29" s="206">
        <f>Model!E178</f>
        <v>505067.74073368846</v>
      </c>
      <c r="E29" s="207">
        <f>Model!F178</f>
        <v>529470.15208796726</v>
      </c>
      <c r="F29" s="207">
        <f>Model!G178</f>
        <v>553872.56344224606</v>
      </c>
      <c r="G29" s="207">
        <f>Model!H178</f>
        <v>578274.97479652474</v>
      </c>
      <c r="H29" s="208">
        <f>Model!I178</f>
        <v>602677.38615080353</v>
      </c>
      <c r="J29" s="239" t="s">
        <v>262</v>
      </c>
      <c r="K29" s="200">
        <f>K30-0.01</f>
        <v>9.5908474082370077E-2</v>
      </c>
      <c r="L29" s="206">
        <f t="shared" ref="L29:P33" si="2">D29-$O$17</f>
        <v>508717.13073368848</v>
      </c>
      <c r="M29" s="207">
        <f t="shared" si="2"/>
        <v>533119.54208796727</v>
      </c>
      <c r="N29" s="207">
        <f t="shared" si="2"/>
        <v>557521.95344224607</v>
      </c>
      <c r="O29" s="207">
        <f t="shared" si="2"/>
        <v>581924.36479652475</v>
      </c>
      <c r="P29" s="208">
        <f t="shared" si="2"/>
        <v>606326.77615080355</v>
      </c>
    </row>
    <row r="30" spans="2:16" ht="14.4" customHeight="1" x14ac:dyDescent="0.3">
      <c r="B30" s="239"/>
      <c r="C30" s="200">
        <f>C31-0.01</f>
        <v>0.10590847408237007</v>
      </c>
      <c r="D30" s="209">
        <f>Model!E179</f>
        <v>487045.71638780081</v>
      </c>
      <c r="E30" s="210">
        <f>Model!F179</f>
        <v>510523.44659300498</v>
      </c>
      <c r="F30" s="210">
        <f>Model!G179</f>
        <v>534001.17679820908</v>
      </c>
      <c r="G30" s="210">
        <f>Model!H179</f>
        <v>557478.9070034133</v>
      </c>
      <c r="H30" s="211">
        <f>Model!I179</f>
        <v>580956.63720861741</v>
      </c>
      <c r="J30" s="239"/>
      <c r="K30" s="200">
        <f>K31-0.01</f>
        <v>0.10590847408237007</v>
      </c>
      <c r="L30" s="209">
        <f t="shared" si="2"/>
        <v>490695.10638780083</v>
      </c>
      <c r="M30" s="210">
        <f t="shared" si="2"/>
        <v>514172.83659300499</v>
      </c>
      <c r="N30" s="210">
        <f t="shared" si="2"/>
        <v>537650.5667982091</v>
      </c>
      <c r="O30" s="210">
        <f t="shared" si="2"/>
        <v>561128.29700341332</v>
      </c>
      <c r="P30" s="211">
        <f t="shared" si="2"/>
        <v>584606.02720861742</v>
      </c>
    </row>
    <row r="31" spans="2:16" x14ac:dyDescent="0.3">
      <c r="B31" s="239"/>
      <c r="C31" s="204">
        <f>Inputs!N88</f>
        <v>0.11590847408237007</v>
      </c>
      <c r="D31" s="209">
        <f>Model!E180</f>
        <v>469844.20578712656</v>
      </c>
      <c r="E31" s="210">
        <f>Model!F180</f>
        <v>492440.14983853308</v>
      </c>
      <c r="F31" s="212">
        <f>Model!G180</f>
        <v>515036.09388993948</v>
      </c>
      <c r="G31" s="210">
        <f>Model!H180</f>
        <v>537632.03794134606</v>
      </c>
      <c r="H31" s="211">
        <f>Model!I180</f>
        <v>560227.98199275252</v>
      </c>
      <c r="J31" s="239"/>
      <c r="K31" s="204">
        <f>O16</f>
        <v>0.11590847408237007</v>
      </c>
      <c r="L31" s="209">
        <f t="shared" si="2"/>
        <v>473493.59578712657</v>
      </c>
      <c r="M31" s="210">
        <f t="shared" si="2"/>
        <v>496089.53983853309</v>
      </c>
      <c r="N31" s="212">
        <f t="shared" si="2"/>
        <v>518685.4838899395</v>
      </c>
      <c r="O31" s="210">
        <f t="shared" si="2"/>
        <v>541281.42794134608</v>
      </c>
      <c r="P31" s="211">
        <f t="shared" si="2"/>
        <v>563877.37199275254</v>
      </c>
    </row>
    <row r="32" spans="2:16" x14ac:dyDescent="0.3">
      <c r="B32" s="239"/>
      <c r="C32" s="200">
        <f>C31 + 0.01</f>
        <v>0.12590847408237008</v>
      </c>
      <c r="D32" s="209">
        <f>Model!E181</f>
        <v>453418.72841064964</v>
      </c>
      <c r="E32" s="210">
        <f>Model!F181</f>
        <v>475173.43341155502</v>
      </c>
      <c r="F32" s="210">
        <f>Model!G181</f>
        <v>496928.13841246039</v>
      </c>
      <c r="G32" s="210">
        <f>Model!H181</f>
        <v>518682.84341336577</v>
      </c>
      <c r="H32" s="211">
        <f>Model!I181</f>
        <v>540437.54841427109</v>
      </c>
      <c r="J32" s="239"/>
      <c r="K32" s="200">
        <f>K31 + 0.01</f>
        <v>0.12590847408237008</v>
      </c>
      <c r="L32" s="209">
        <f t="shared" si="2"/>
        <v>457068.11841064965</v>
      </c>
      <c r="M32" s="210">
        <f t="shared" si="2"/>
        <v>478822.82341155503</v>
      </c>
      <c r="N32" s="210">
        <f t="shared" si="2"/>
        <v>500577.52841246041</v>
      </c>
      <c r="O32" s="210">
        <f t="shared" si="2"/>
        <v>522332.23341336579</v>
      </c>
      <c r="P32" s="211">
        <f t="shared" si="2"/>
        <v>544086.93841427111</v>
      </c>
    </row>
    <row r="33" spans="2:16" ht="15" customHeight="1" x14ac:dyDescent="0.3">
      <c r="B33" s="239"/>
      <c r="C33" s="200">
        <f>C32 + 0.01</f>
        <v>0.13590847408237008</v>
      </c>
      <c r="D33" s="213">
        <f>Model!E182</f>
        <v>437727.58664047217</v>
      </c>
      <c r="E33" s="214">
        <f>Model!F182</f>
        <v>458679.39957252773</v>
      </c>
      <c r="F33" s="214">
        <f>Model!G182</f>
        <v>479631.21250458318</v>
      </c>
      <c r="G33" s="214">
        <f>Model!H182</f>
        <v>500583.02543663874</v>
      </c>
      <c r="H33" s="215">
        <f>Model!I182</f>
        <v>521534.8383686943</v>
      </c>
      <c r="J33" s="239"/>
      <c r="K33" s="200">
        <f>K32 + 0.01</f>
        <v>0.13590847408237008</v>
      </c>
      <c r="L33" s="213">
        <f t="shared" si="2"/>
        <v>441376.97664047219</v>
      </c>
      <c r="M33" s="214">
        <f t="shared" si="2"/>
        <v>462328.78957252775</v>
      </c>
      <c r="N33" s="214">
        <f t="shared" si="2"/>
        <v>483280.60250458319</v>
      </c>
      <c r="O33" s="214">
        <f t="shared" si="2"/>
        <v>504232.41543663875</v>
      </c>
      <c r="P33" s="215">
        <f t="shared" si="2"/>
        <v>525184.22836869431</v>
      </c>
    </row>
    <row r="34" spans="2:16" x14ac:dyDescent="0.3">
      <c r="C34" s="187"/>
      <c r="D34" s="188"/>
      <c r="E34" s="188"/>
      <c r="F34" s="188"/>
      <c r="G34" s="188"/>
      <c r="H34" s="188"/>
    </row>
    <row r="35" spans="2:16" x14ac:dyDescent="0.3">
      <c r="C35" s="187"/>
      <c r="D35" s="188"/>
      <c r="E35" s="188"/>
      <c r="F35" s="188"/>
      <c r="G35" s="188"/>
      <c r="H35" s="188"/>
    </row>
    <row r="36" spans="2:16" x14ac:dyDescent="0.3">
      <c r="C36" s="187"/>
      <c r="D36" s="188"/>
      <c r="E36" s="188"/>
      <c r="F36" s="188"/>
      <c r="G36" s="188"/>
      <c r="H36" s="188"/>
    </row>
    <row r="37" spans="2:16" x14ac:dyDescent="0.3">
      <c r="C37" s="187"/>
      <c r="D37" s="188"/>
      <c r="E37" s="188"/>
      <c r="F37" s="188"/>
      <c r="G37" s="188"/>
      <c r="H37" s="188"/>
    </row>
    <row r="38" spans="2:16" x14ac:dyDescent="0.3">
      <c r="C38" s="112" t="s">
        <v>247</v>
      </c>
      <c r="D38" s="102"/>
      <c r="E38" s="202"/>
      <c r="F38" s="102"/>
      <c r="G38" s="102"/>
      <c r="H38" s="102"/>
      <c r="K38" s="112" t="s">
        <v>275</v>
      </c>
      <c r="L38" s="102"/>
      <c r="M38" s="202"/>
      <c r="N38" s="102"/>
      <c r="O38" s="102"/>
      <c r="P38" s="102"/>
    </row>
    <row r="40" spans="2:16" x14ac:dyDescent="0.3">
      <c r="E40" s="203" t="s">
        <v>237</v>
      </c>
      <c r="M40" s="203" t="s">
        <v>237</v>
      </c>
    </row>
    <row r="42" spans="2:16" x14ac:dyDescent="0.3">
      <c r="D42" s="201">
        <f>E42-1</f>
        <v>18</v>
      </c>
      <c r="E42" s="201">
        <f>F42-1</f>
        <v>19</v>
      </c>
      <c r="F42" s="205">
        <f>O15</f>
        <v>20</v>
      </c>
      <c r="G42" s="201">
        <f>F42+1</f>
        <v>21</v>
      </c>
      <c r="H42" s="201">
        <f t="shared" ref="H42" si="3">G42+1</f>
        <v>22</v>
      </c>
      <c r="L42" s="201">
        <f>M42-1</f>
        <v>18</v>
      </c>
      <c r="M42" s="201">
        <f>N42-1</f>
        <v>19</v>
      </c>
      <c r="N42" s="205">
        <f>O15</f>
        <v>20</v>
      </c>
      <c r="O42" s="201">
        <f>N42+1</f>
        <v>21</v>
      </c>
      <c r="P42" s="201">
        <f t="shared" ref="P42" si="4">O42+1</f>
        <v>22</v>
      </c>
    </row>
    <row r="43" spans="2:16" x14ac:dyDescent="0.3">
      <c r="B43" s="239" t="s">
        <v>262</v>
      </c>
      <c r="C43" s="200">
        <f>C44-0.01</f>
        <v>9.5908474082370077E-2</v>
      </c>
      <c r="D43" s="206">
        <f t="shared" ref="D43:H47" si="5">L29/$O$18</f>
        <v>406.03171101739042</v>
      </c>
      <c r="E43" s="207">
        <f t="shared" si="5"/>
        <v>425.50845405696163</v>
      </c>
      <c r="F43" s="207">
        <f t="shared" si="5"/>
        <v>444.98519709653289</v>
      </c>
      <c r="G43" s="207">
        <f t="shared" si="5"/>
        <v>464.46194013610403</v>
      </c>
      <c r="H43" s="208">
        <f t="shared" si="5"/>
        <v>483.93868317567524</v>
      </c>
      <c r="J43" s="239" t="s">
        <v>262</v>
      </c>
      <c r="K43" s="200">
        <f>K44-0.01</f>
        <v>9.5908474082370077E-2</v>
      </c>
      <c r="L43" s="222">
        <f>D43 / $O$19-1</f>
        <v>3.7866774224732946E-3</v>
      </c>
      <c r="M43" s="224">
        <f t="shared" ref="M43:M47" si="6">E43 / $O$19-1</f>
        <v>5.1936845629076966E-2</v>
      </c>
      <c r="N43" s="224">
        <f t="shared" ref="N43:N47" si="7">F43 / $O$19-1</f>
        <v>0.10008701383568086</v>
      </c>
      <c r="O43" s="224">
        <f t="shared" ref="O43:O47" si="8">G43 / $O$19-1</f>
        <v>0.14823718204228431</v>
      </c>
      <c r="P43" s="225">
        <f t="shared" ref="P43:P47" si="9">H43 / $O$19-1</f>
        <v>0.1963873502488882</v>
      </c>
    </row>
    <row r="44" spans="2:16" x14ac:dyDescent="0.3">
      <c r="B44" s="239"/>
      <c r="C44" s="200">
        <f>C45-0.01</f>
        <v>0.10590847408237007</v>
      </c>
      <c r="D44" s="209">
        <f t="shared" si="5"/>
        <v>391.6474629960897</v>
      </c>
      <c r="E44" s="210">
        <f t="shared" si="5"/>
        <v>410.38617335222682</v>
      </c>
      <c r="F44" s="210">
        <f t="shared" si="5"/>
        <v>429.12488370836383</v>
      </c>
      <c r="G44" s="210">
        <f t="shared" si="5"/>
        <v>447.863594064501</v>
      </c>
      <c r="H44" s="211">
        <f t="shared" si="5"/>
        <v>466.60230442063801</v>
      </c>
      <c r="J44" s="239"/>
      <c r="K44" s="200">
        <f>K45-0.01</f>
        <v>0.10590847408237007</v>
      </c>
      <c r="L44" s="226">
        <f t="shared" ref="L44:L47" si="10">D44 / $O$19-1</f>
        <v>-3.1773886289024222E-2</v>
      </c>
      <c r="M44" s="223">
        <f t="shared" si="6"/>
        <v>1.4551726457915581E-2</v>
      </c>
      <c r="N44" s="223">
        <f t="shared" si="7"/>
        <v>6.0877339204854941E-2</v>
      </c>
      <c r="O44" s="223">
        <f t="shared" si="8"/>
        <v>0.10720295195179474</v>
      </c>
      <c r="P44" s="227">
        <f t="shared" si="9"/>
        <v>0.15352856469873433</v>
      </c>
    </row>
    <row r="45" spans="2:16" x14ac:dyDescent="0.3">
      <c r="B45" s="239"/>
      <c r="C45" s="204">
        <f>O16</f>
        <v>0.11590847408237007</v>
      </c>
      <c r="D45" s="209">
        <f t="shared" si="5"/>
        <v>377.9181066223374</v>
      </c>
      <c r="E45" s="210">
        <f t="shared" si="5"/>
        <v>395.9530208624256</v>
      </c>
      <c r="F45" s="212">
        <f t="shared" si="5"/>
        <v>413.98793510251375</v>
      </c>
      <c r="G45" s="210">
        <f t="shared" si="5"/>
        <v>432.022849342602</v>
      </c>
      <c r="H45" s="211">
        <f t="shared" si="5"/>
        <v>450.05776358269014</v>
      </c>
      <c r="J45" s="239"/>
      <c r="K45" s="204">
        <f>O16</f>
        <v>0.11590847408237007</v>
      </c>
      <c r="L45" s="226">
        <f t="shared" si="10"/>
        <v>-6.5715434802626982E-2</v>
      </c>
      <c r="M45" s="223">
        <f t="shared" si="6"/>
        <v>-2.1129738288193867E-2</v>
      </c>
      <c r="N45" s="231">
        <f t="shared" si="7"/>
        <v>2.3455958226239249E-2</v>
      </c>
      <c r="O45" s="223">
        <f t="shared" si="8"/>
        <v>6.8041654740672364E-2</v>
      </c>
      <c r="P45" s="227">
        <f t="shared" si="9"/>
        <v>0.11262735125510548</v>
      </c>
    </row>
    <row r="46" spans="2:16" x14ac:dyDescent="0.3">
      <c r="B46" s="239"/>
      <c r="C46" s="200">
        <f>C45 + 0.01</f>
        <v>0.12590847408237008</v>
      </c>
      <c r="D46" s="209">
        <f t="shared" si="5"/>
        <v>364.80813984408144</v>
      </c>
      <c r="E46" s="210">
        <f t="shared" si="5"/>
        <v>382.1716205695227</v>
      </c>
      <c r="F46" s="210">
        <f t="shared" si="5"/>
        <v>399.53510129496397</v>
      </c>
      <c r="G46" s="210">
        <f t="shared" si="5"/>
        <v>416.89858202040529</v>
      </c>
      <c r="H46" s="211">
        <f t="shared" si="5"/>
        <v>434.26206274584649</v>
      </c>
      <c r="J46" s="239"/>
      <c r="K46" s="200">
        <f>K45 + 0.01</f>
        <v>0.12590847408237008</v>
      </c>
      <c r="L46" s="226">
        <f t="shared" si="10"/>
        <v>-9.81257358613562E-2</v>
      </c>
      <c r="M46" s="223">
        <f t="shared" si="6"/>
        <v>-5.5199949148275196E-2</v>
      </c>
      <c r="N46" s="223">
        <f t="shared" si="7"/>
        <v>-1.2274162435194191E-2</v>
      </c>
      <c r="O46" s="223">
        <f t="shared" si="8"/>
        <v>3.0651624277886924E-2</v>
      </c>
      <c r="P46" s="227">
        <f t="shared" si="9"/>
        <v>7.3577410990967929E-2</v>
      </c>
    </row>
    <row r="47" spans="2:16" x14ac:dyDescent="0.3">
      <c r="B47" s="239"/>
      <c r="C47" s="200">
        <f>C46 + 0.01</f>
        <v>0.13590847408237008</v>
      </c>
      <c r="D47" s="213">
        <f t="shared" si="5"/>
        <v>352.28428177865123</v>
      </c>
      <c r="E47" s="214">
        <f t="shared" si="5"/>
        <v>369.00693556750554</v>
      </c>
      <c r="F47" s="214">
        <f t="shared" si="5"/>
        <v>385.72958935635978</v>
      </c>
      <c r="G47" s="214">
        <f t="shared" si="5"/>
        <v>402.45224314521408</v>
      </c>
      <c r="H47" s="215">
        <f t="shared" si="5"/>
        <v>419.17489693406839</v>
      </c>
      <c r="J47" s="239"/>
      <c r="K47" s="200">
        <f>K46 + 0.01</f>
        <v>0.13590847408237008</v>
      </c>
      <c r="L47" s="228">
        <f t="shared" si="10"/>
        <v>-0.12908706606019471</v>
      </c>
      <c r="M47" s="229">
        <f t="shared" si="6"/>
        <v>-8.7745523936945569E-2</v>
      </c>
      <c r="N47" s="229">
        <f t="shared" si="7"/>
        <v>-4.6403981813696427E-2</v>
      </c>
      <c r="O47" s="229">
        <f t="shared" si="8"/>
        <v>-5.0624396904472846E-3</v>
      </c>
      <c r="P47" s="230">
        <f t="shared" si="9"/>
        <v>3.6279102432801968E-2</v>
      </c>
    </row>
  </sheetData>
  <sheetProtection algorithmName="SHA-512" hashValue="2BpGdz/fDgk+pVKM0MFspyO0g7+t00I8z0JjfjGOa1AeIjul3WSl3wYtCknx/NEvOHvqSH9XYZMEElPfnbBdfQ==" saltValue="h8GIPPYjiMd/Qhupn7AYmA==" spinCount="100000" sheet="1" objects="1" scenarios="1"/>
  <mergeCells count="4">
    <mergeCell ref="B29:B33"/>
    <mergeCell ref="J29:J33"/>
    <mergeCell ref="B43:B47"/>
    <mergeCell ref="J43:J4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2" r:id="rId3" name="Drop Down 4">
              <controlPr defaultSize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6</xdr:col>
                    <xdr:colOff>220980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547E-D837-493A-9298-B988EBD4EE05}">
  <dimension ref="B8:N112"/>
  <sheetViews>
    <sheetView showGridLines="0" workbookViewId="0"/>
  </sheetViews>
  <sheetFormatPr defaultRowHeight="14.4" outlineLevelRow="1" x14ac:dyDescent="0.3"/>
  <cols>
    <col min="5" max="5" width="9.296875" customWidth="1"/>
    <col min="6" max="6" width="9.796875" customWidth="1"/>
    <col min="7" max="7" width="9.296875" customWidth="1"/>
    <col min="8" max="8" width="8" customWidth="1"/>
    <col min="9" max="9" width="8.8984375" customWidth="1"/>
    <col min="10" max="10" width="9.59765625" customWidth="1"/>
    <col min="11" max="11" width="9" customWidth="1"/>
    <col min="14" max="14" width="9.3984375" bestFit="1" customWidth="1"/>
  </cols>
  <sheetData>
    <row r="8" spans="2:14" ht="18" x14ac:dyDescent="0.35">
      <c r="B8" s="12" t="s">
        <v>151</v>
      </c>
      <c r="C8" s="37"/>
      <c r="D8" s="37"/>
      <c r="E8" s="37"/>
      <c r="F8" s="238">
        <v>2</v>
      </c>
      <c r="G8" s="37"/>
      <c r="H8" s="37"/>
      <c r="I8" s="37"/>
      <c r="J8" s="37"/>
      <c r="K8" s="37"/>
      <c r="L8" s="37"/>
      <c r="M8" s="37"/>
      <c r="N8" s="37"/>
    </row>
    <row r="9" spans="2:14" outlineLevel="1" x14ac:dyDescent="0.3"/>
    <row r="10" spans="2:14" ht="15" outlineLevel="1" thickBot="1" x14ac:dyDescent="0.35">
      <c r="B10" s="13" t="s">
        <v>135</v>
      </c>
      <c r="J10" s="16">
        <v>2026</v>
      </c>
      <c r="K10" s="16">
        <f t="shared" ref="K10:M10" si="0">J10 + 1</f>
        <v>2027</v>
      </c>
      <c r="L10" s="16">
        <f t="shared" si="0"/>
        <v>2028</v>
      </c>
      <c r="M10" s="16">
        <f t="shared" si="0"/>
        <v>2029</v>
      </c>
      <c r="N10" s="17" t="s">
        <v>136</v>
      </c>
    </row>
    <row r="11" spans="2:14" outlineLevel="1" x14ac:dyDescent="0.3"/>
    <row r="12" spans="2:14" outlineLevel="1" x14ac:dyDescent="0.3"/>
    <row r="13" spans="2:14" outlineLevel="1" x14ac:dyDescent="0.3">
      <c r="B13" s="39" t="s">
        <v>137</v>
      </c>
      <c r="J13" s="56" cm="1">
        <f t="array" ref="J13">INDEX(J15:J17, $F$8)</f>
        <v>0.09</v>
      </c>
      <c r="K13" s="57" cm="1">
        <f t="array" ref="K13">INDEX(K15:K17, $F$8)</f>
        <v>8.5000000000000006E-2</v>
      </c>
      <c r="L13" s="57" cm="1">
        <f t="array" ref="L13">INDEX(L15:L17, $F$8)</f>
        <v>8.5000000000000006E-2</v>
      </c>
      <c r="M13" s="57" cm="1">
        <f t="array" ref="M13">INDEX(M15:M17, $F$8)</f>
        <v>7.0000000000000007E-2</v>
      </c>
      <c r="N13" s="58" cm="1">
        <f t="array" ref="N13">INDEX(N15:N17, $F$8)</f>
        <v>6.5000000000000002E-2</v>
      </c>
    </row>
    <row r="14" spans="2:14" outlineLevel="1" x14ac:dyDescent="0.3"/>
    <row r="15" spans="2:14" outlineLevel="1" x14ac:dyDescent="0.3">
      <c r="B15" s="40" t="s">
        <v>152</v>
      </c>
      <c r="J15" s="44">
        <v>0.1</v>
      </c>
      <c r="K15" s="45">
        <v>0.1</v>
      </c>
      <c r="L15" s="45">
        <v>0.09</v>
      </c>
      <c r="M15" s="45">
        <v>8.5000000000000006E-2</v>
      </c>
      <c r="N15" s="46">
        <v>7.0000000000000007E-2</v>
      </c>
    </row>
    <row r="16" spans="2:14" outlineLevel="1" x14ac:dyDescent="0.3">
      <c r="B16" s="40" t="s">
        <v>153</v>
      </c>
      <c r="J16" s="47">
        <v>0.09</v>
      </c>
      <c r="K16" s="48">
        <v>8.5000000000000006E-2</v>
      </c>
      <c r="L16" s="48">
        <v>8.5000000000000006E-2</v>
      </c>
      <c r="M16" s="48">
        <v>7.0000000000000007E-2</v>
      </c>
      <c r="N16" s="49">
        <v>6.5000000000000002E-2</v>
      </c>
    </row>
    <row r="17" spans="2:14" outlineLevel="1" x14ac:dyDescent="0.3">
      <c r="B17" s="40" t="s">
        <v>154</v>
      </c>
      <c r="J17" s="50">
        <v>8.5000000000000006E-2</v>
      </c>
      <c r="K17" s="51">
        <v>7.0000000000000007E-2</v>
      </c>
      <c r="L17" s="51">
        <v>7.0000000000000007E-2</v>
      </c>
      <c r="M17" s="51">
        <v>6.5000000000000002E-2</v>
      </c>
      <c r="N17" s="52">
        <v>0.06</v>
      </c>
    </row>
    <row r="18" spans="2:14" outlineLevel="1" x14ac:dyDescent="0.3"/>
    <row r="19" spans="2:14" outlineLevel="1" x14ac:dyDescent="0.3"/>
    <row r="20" spans="2:14" outlineLevel="1" x14ac:dyDescent="0.3">
      <c r="B20" s="39" t="s">
        <v>138</v>
      </c>
      <c r="H20" s="19" t="s">
        <v>155</v>
      </c>
      <c r="J20" s="56" cm="1">
        <f t="array" ref="J20">INDEX(J22:J24, $F$8)</f>
        <v>0.42499999999999999</v>
      </c>
      <c r="K20" s="57" cm="1">
        <f t="array" ref="K20">INDEX(K22:K24, $F$8)</f>
        <v>0.43</v>
      </c>
      <c r="L20" s="57" cm="1">
        <f t="array" ref="L20">INDEX(L22:L24, $F$8)</f>
        <v>0.44</v>
      </c>
      <c r="M20" s="57" cm="1">
        <f t="array" ref="M20">INDEX(M22:M24, $F$8)</f>
        <v>0.44500000000000001</v>
      </c>
      <c r="N20" s="58" cm="1">
        <f t="array" ref="N20">INDEX(N22:N24, $F$8)</f>
        <v>0.45</v>
      </c>
    </row>
    <row r="21" spans="2:14" outlineLevel="1" x14ac:dyDescent="0.3"/>
    <row r="22" spans="2:14" outlineLevel="1" x14ac:dyDescent="0.3">
      <c r="B22" s="40" t="s">
        <v>152</v>
      </c>
      <c r="J22" s="44">
        <v>0.4</v>
      </c>
      <c r="K22" s="45">
        <v>0.41</v>
      </c>
      <c r="L22" s="45">
        <v>0.42499999999999999</v>
      </c>
      <c r="M22" s="45">
        <v>0.43</v>
      </c>
      <c r="N22" s="46">
        <v>0.44</v>
      </c>
    </row>
    <row r="23" spans="2:14" outlineLevel="1" x14ac:dyDescent="0.3">
      <c r="B23" s="40" t="s">
        <v>153</v>
      </c>
      <c r="J23" s="47">
        <v>0.42499999999999999</v>
      </c>
      <c r="K23" s="48">
        <v>0.43</v>
      </c>
      <c r="L23" s="48">
        <v>0.44</v>
      </c>
      <c r="M23" s="48">
        <v>0.44500000000000001</v>
      </c>
      <c r="N23" s="49">
        <v>0.45</v>
      </c>
    </row>
    <row r="24" spans="2:14" outlineLevel="1" x14ac:dyDescent="0.3">
      <c r="B24" s="40" t="s">
        <v>154</v>
      </c>
      <c r="J24" s="50">
        <v>0.44</v>
      </c>
      <c r="K24" s="51">
        <v>0.44500000000000001</v>
      </c>
      <c r="L24" s="51">
        <v>0.44500000000000001</v>
      </c>
      <c r="M24" s="51">
        <v>0.45</v>
      </c>
      <c r="N24" s="52">
        <v>0.46</v>
      </c>
    </row>
    <row r="25" spans="2:14" outlineLevel="1" x14ac:dyDescent="0.3"/>
    <row r="26" spans="2:14" outlineLevel="1" x14ac:dyDescent="0.3"/>
    <row r="27" spans="2:14" outlineLevel="1" x14ac:dyDescent="0.3">
      <c r="B27" s="39" t="s">
        <v>139</v>
      </c>
      <c r="H27" s="19" t="s">
        <v>155</v>
      </c>
      <c r="J27" s="56" cm="1">
        <f t="array" ref="J27">INDEX(J29:J31, $F$8)</f>
        <v>0.20499999999999999</v>
      </c>
      <c r="K27" s="57" cm="1">
        <f t="array" ref="K27">INDEX(K29:K31, $F$8)</f>
        <v>0.21</v>
      </c>
      <c r="L27" s="57" cm="1">
        <f t="array" ref="L27">INDEX(L29:L31, $F$8)</f>
        <v>0.21</v>
      </c>
      <c r="M27" s="57" cm="1">
        <f t="array" ref="M27">INDEX(M29:M31, $F$8)</f>
        <v>0.215</v>
      </c>
      <c r="N27" s="58" cm="1">
        <f t="array" ref="N27">INDEX(N29:N31, $F$8)</f>
        <v>0.22</v>
      </c>
    </row>
    <row r="28" spans="2:14" outlineLevel="1" x14ac:dyDescent="0.3"/>
    <row r="29" spans="2:14" outlineLevel="1" x14ac:dyDescent="0.3">
      <c r="B29" s="40" t="s">
        <v>152</v>
      </c>
      <c r="J29" s="44">
        <v>0.2</v>
      </c>
      <c r="K29" s="45">
        <v>0.20499999999999999</v>
      </c>
      <c r="L29" s="45">
        <v>0.20499999999999999</v>
      </c>
      <c r="M29" s="45">
        <v>0.21</v>
      </c>
      <c r="N29" s="46">
        <v>0.21</v>
      </c>
    </row>
    <row r="30" spans="2:14" outlineLevel="1" x14ac:dyDescent="0.3">
      <c r="B30" s="40" t="s">
        <v>153</v>
      </c>
      <c r="J30" s="47">
        <v>0.20499999999999999</v>
      </c>
      <c r="K30" s="48">
        <v>0.21</v>
      </c>
      <c r="L30" s="48">
        <v>0.21</v>
      </c>
      <c r="M30" s="48">
        <v>0.215</v>
      </c>
      <c r="N30" s="49">
        <v>0.22</v>
      </c>
    </row>
    <row r="31" spans="2:14" outlineLevel="1" x14ac:dyDescent="0.3">
      <c r="B31" s="40" t="s">
        <v>154</v>
      </c>
      <c r="J31" s="50">
        <v>0.21</v>
      </c>
      <c r="K31" s="51">
        <v>0.215</v>
      </c>
      <c r="L31" s="51">
        <v>0.22</v>
      </c>
      <c r="M31" s="51">
        <v>0.22</v>
      </c>
      <c r="N31" s="52">
        <v>0.23</v>
      </c>
    </row>
    <row r="32" spans="2:14" outlineLevel="1" x14ac:dyDescent="0.3"/>
    <row r="33" spans="2:14" outlineLevel="1" x14ac:dyDescent="0.3"/>
    <row r="34" spans="2:14" outlineLevel="1" x14ac:dyDescent="0.3">
      <c r="B34" s="39" t="s">
        <v>148</v>
      </c>
      <c r="J34" s="84" cm="1">
        <f t="array" ref="J34">INDEX(J36:J38, $F$8)</f>
        <v>2500</v>
      </c>
      <c r="K34" s="85" cm="1">
        <f t="array" ref="K34">INDEX(K36:K38, $F$8)</f>
        <v>2600</v>
      </c>
      <c r="L34" s="85" cm="1">
        <f t="array" ref="L34">INDEX(L36:L38, $F$8)</f>
        <v>2650</v>
      </c>
      <c r="M34" s="85" cm="1">
        <f t="array" ref="M34">INDEX(M36:M38, $F$8)</f>
        <v>2700</v>
      </c>
      <c r="N34" s="86" cm="1">
        <f t="array" ref="N34">INDEX(N36:N38, $F$8)</f>
        <v>2700</v>
      </c>
    </row>
    <row r="35" spans="2:14" outlineLevel="1" x14ac:dyDescent="0.3"/>
    <row r="36" spans="2:14" outlineLevel="1" x14ac:dyDescent="0.3">
      <c r="B36" s="40" t="s">
        <v>152</v>
      </c>
      <c r="J36" s="70">
        <v>2300</v>
      </c>
      <c r="K36" s="71">
        <v>2400</v>
      </c>
      <c r="L36" s="71">
        <v>2500</v>
      </c>
      <c r="M36" s="71">
        <v>2550</v>
      </c>
      <c r="N36" s="72">
        <v>2600</v>
      </c>
    </row>
    <row r="37" spans="2:14" outlineLevel="1" x14ac:dyDescent="0.3">
      <c r="B37" s="40" t="s">
        <v>153</v>
      </c>
      <c r="J37" s="73">
        <v>2500</v>
      </c>
      <c r="K37" s="74">
        <v>2600</v>
      </c>
      <c r="L37" s="74">
        <v>2650</v>
      </c>
      <c r="M37" s="74">
        <v>2700</v>
      </c>
      <c r="N37" s="75">
        <v>2700</v>
      </c>
    </row>
    <row r="38" spans="2:14" outlineLevel="1" x14ac:dyDescent="0.3">
      <c r="B38" s="40" t="s">
        <v>154</v>
      </c>
      <c r="J38" s="76">
        <v>2600</v>
      </c>
      <c r="K38" s="77">
        <v>2650</v>
      </c>
      <c r="L38" s="77">
        <v>2700</v>
      </c>
      <c r="M38" s="77">
        <v>2750</v>
      </c>
      <c r="N38" s="78">
        <v>2800</v>
      </c>
    </row>
    <row r="39" spans="2:14" outlineLevel="1" x14ac:dyDescent="0.3"/>
    <row r="40" spans="2:14" outlineLevel="1" x14ac:dyDescent="0.3"/>
    <row r="41" spans="2:14" outlineLevel="1" x14ac:dyDescent="0.3">
      <c r="B41" s="39" t="s">
        <v>163</v>
      </c>
    </row>
    <row r="42" spans="2:14" outlineLevel="1" x14ac:dyDescent="0.3"/>
    <row r="43" spans="2:14" outlineLevel="1" x14ac:dyDescent="0.3">
      <c r="B43" s="40" t="s">
        <v>160</v>
      </c>
      <c r="H43" s="19" t="s">
        <v>158</v>
      </c>
      <c r="J43" s="70">
        <v>30</v>
      </c>
      <c r="K43" s="71">
        <v>30</v>
      </c>
      <c r="L43" s="71">
        <v>30</v>
      </c>
      <c r="M43" s="71">
        <v>30</v>
      </c>
      <c r="N43" s="72">
        <v>30</v>
      </c>
    </row>
    <row r="44" spans="2:14" outlineLevel="1" x14ac:dyDescent="0.3">
      <c r="B44" s="40" t="s">
        <v>81</v>
      </c>
      <c r="H44" s="19" t="s">
        <v>158</v>
      </c>
      <c r="J44" s="73">
        <v>175</v>
      </c>
      <c r="K44" s="74">
        <v>175</v>
      </c>
      <c r="L44" s="74">
        <v>175</v>
      </c>
      <c r="M44" s="74">
        <v>175</v>
      </c>
      <c r="N44" s="75">
        <v>175</v>
      </c>
    </row>
    <row r="45" spans="2:14" outlineLevel="1" x14ac:dyDescent="0.3">
      <c r="B45" s="40" t="s">
        <v>54</v>
      </c>
      <c r="H45" s="19" t="s">
        <v>158</v>
      </c>
      <c r="J45" s="76">
        <v>75</v>
      </c>
      <c r="K45" s="77">
        <v>75</v>
      </c>
      <c r="L45" s="77">
        <v>75</v>
      </c>
      <c r="M45" s="77">
        <v>75</v>
      </c>
      <c r="N45" s="78">
        <v>75</v>
      </c>
    </row>
    <row r="46" spans="2:14" outlineLevel="1" x14ac:dyDescent="0.3"/>
    <row r="48" spans="2:14" ht="18" x14ac:dyDescent="0.35">
      <c r="B48" s="12" t="s">
        <v>172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2:14" outlineLevel="1" x14ac:dyDescent="0.3"/>
    <row r="50" spans="2:14" outlineLevel="1" x14ac:dyDescent="0.3">
      <c r="B50" s="13" t="s">
        <v>135</v>
      </c>
    </row>
    <row r="51" spans="2:14" outlineLevel="1" x14ac:dyDescent="0.3"/>
    <row r="52" spans="2:14" outlineLevel="1" x14ac:dyDescent="0.3">
      <c r="B52" s="39"/>
      <c r="C52" s="39"/>
      <c r="D52" s="39"/>
      <c r="E52" s="39"/>
      <c r="F52" s="39"/>
      <c r="G52" s="39"/>
      <c r="H52" s="39"/>
      <c r="I52" s="39"/>
      <c r="J52" s="94"/>
      <c r="K52" s="94" t="s">
        <v>173</v>
      </c>
      <c r="L52" s="94" t="s">
        <v>173</v>
      </c>
      <c r="M52" s="94" t="s">
        <v>174</v>
      </c>
      <c r="N52" s="94" t="s">
        <v>175</v>
      </c>
    </row>
    <row r="53" spans="2:14" ht="15" outlineLevel="1" thickBot="1" x14ac:dyDescent="0.35">
      <c r="B53" s="93" t="s">
        <v>176</v>
      </c>
      <c r="C53" s="93"/>
      <c r="D53" s="93"/>
      <c r="E53" s="93" t="s">
        <v>177</v>
      </c>
      <c r="F53" s="93"/>
      <c r="G53" s="93"/>
      <c r="H53" s="115" t="s">
        <v>178</v>
      </c>
      <c r="I53" s="115" t="s">
        <v>179</v>
      </c>
      <c r="J53" s="116" t="s">
        <v>181</v>
      </c>
      <c r="K53" s="93" t="s">
        <v>179</v>
      </c>
      <c r="L53" s="93" t="s">
        <v>180</v>
      </c>
      <c r="M53" s="93" t="s">
        <v>187</v>
      </c>
      <c r="N53" s="93" t="s">
        <v>187</v>
      </c>
    </row>
    <row r="54" spans="2:14" outlineLevel="1" x14ac:dyDescent="0.3">
      <c r="B54" s="42" t="s">
        <v>182</v>
      </c>
      <c r="C54" s="42"/>
      <c r="D54" s="42"/>
      <c r="E54" s="42" t="s">
        <v>183</v>
      </c>
      <c r="F54" s="74"/>
      <c r="G54" s="74"/>
      <c r="H54" s="99">
        <v>2196.3000000000002</v>
      </c>
      <c r="I54" s="119">
        <v>145243.57999999999</v>
      </c>
      <c r="J54" s="117">
        <v>0.3</v>
      </c>
      <c r="K54" s="98">
        <f>H54/I54</f>
        <v>1.5121494526642763E-2</v>
      </c>
      <c r="L54" s="98">
        <f>H54 / (H54+I54)</f>
        <v>1.4896241098405672E-2</v>
      </c>
      <c r="M54" s="113">
        <v>0.53</v>
      </c>
      <c r="N54" s="100">
        <f>M54 / (1 + (1 - J54) * K54)</f>
        <v>0.52444868644093501</v>
      </c>
    </row>
    <row r="55" spans="2:14" outlineLevel="1" x14ac:dyDescent="0.3">
      <c r="B55" s="42" t="s">
        <v>185</v>
      </c>
      <c r="C55" s="42"/>
      <c r="D55" s="42"/>
      <c r="E55" s="42" t="s">
        <v>183</v>
      </c>
      <c r="F55" s="74"/>
      <c r="G55" s="74"/>
      <c r="H55" s="99">
        <v>476.85</v>
      </c>
      <c r="I55" s="99">
        <v>242909.75</v>
      </c>
      <c r="J55" s="117">
        <v>0.3</v>
      </c>
      <c r="K55" s="98">
        <f t="shared" ref="K55:K58" si="1">H55/I55</f>
        <v>1.9630747633637598E-3</v>
      </c>
      <c r="L55" s="98">
        <f t="shared" ref="L55:L58" si="2">H55 / (H55+I55)</f>
        <v>1.9592286510432375E-3</v>
      </c>
      <c r="M55" s="113">
        <v>0.25</v>
      </c>
      <c r="N55" s="100">
        <f t="shared" ref="N55:N58" si="3">M55 / (1 + (1 - J55) * K55)</f>
        <v>0.24965693334225991</v>
      </c>
    </row>
    <row r="56" spans="2:14" outlineLevel="1" x14ac:dyDescent="0.3">
      <c r="B56" s="42" t="s">
        <v>186</v>
      </c>
      <c r="C56" s="42"/>
      <c r="D56" s="42"/>
      <c r="E56" s="42" t="s">
        <v>183</v>
      </c>
      <c r="F56" s="74"/>
      <c r="G56" s="74"/>
      <c r="H56" s="99">
        <v>1775</v>
      </c>
      <c r="I56" s="99">
        <v>536223</v>
      </c>
      <c r="J56" s="117">
        <v>0.3</v>
      </c>
      <c r="K56" s="98">
        <f t="shared" si="1"/>
        <v>3.3101899769312393E-3</v>
      </c>
      <c r="L56" s="98">
        <f t="shared" si="2"/>
        <v>3.2992687705158757E-3</v>
      </c>
      <c r="M56" s="113">
        <v>0.32</v>
      </c>
      <c r="N56" s="100">
        <f t="shared" si="3"/>
        <v>0.31926023158695771</v>
      </c>
    </row>
    <row r="57" spans="2:14" outlineLevel="1" x14ac:dyDescent="0.3">
      <c r="B57" s="42" t="s">
        <v>255</v>
      </c>
      <c r="C57" s="42"/>
      <c r="D57" s="42"/>
      <c r="E57" s="42" t="s">
        <v>183</v>
      </c>
      <c r="F57" s="74"/>
      <c r="G57" s="74"/>
      <c r="H57" s="99">
        <v>4113.49</v>
      </c>
      <c r="I57" s="99">
        <v>122779.1</v>
      </c>
      <c r="J57" s="117">
        <v>0.3</v>
      </c>
      <c r="K57" s="98">
        <f t="shared" si="1"/>
        <v>3.3503177658086754E-2</v>
      </c>
      <c r="L57" s="98">
        <f t="shared" si="2"/>
        <v>3.2417101739352937E-2</v>
      </c>
      <c r="M57" s="113">
        <v>0.23</v>
      </c>
      <c r="N57" s="100">
        <f t="shared" si="3"/>
        <v>0.22472959120654457</v>
      </c>
    </row>
    <row r="58" spans="2:14" outlineLevel="1" x14ac:dyDescent="0.3">
      <c r="B58" s="110" t="s">
        <v>254</v>
      </c>
      <c r="C58" s="110"/>
      <c r="D58" s="110"/>
      <c r="E58" s="110" t="s">
        <v>183</v>
      </c>
      <c r="F58" s="111"/>
      <c r="G58" s="111"/>
      <c r="H58" s="120">
        <v>2138.25</v>
      </c>
      <c r="I58" s="120">
        <v>161794</v>
      </c>
      <c r="J58" s="118">
        <v>0.3</v>
      </c>
      <c r="K58" s="108">
        <f t="shared" si="1"/>
        <v>1.3215879451648392E-2</v>
      </c>
      <c r="L58" s="108">
        <f t="shared" si="2"/>
        <v>1.3043498152437974E-2</v>
      </c>
      <c r="M58" s="114">
        <v>0.23</v>
      </c>
      <c r="N58" s="109">
        <f t="shared" si="3"/>
        <v>0.22789174709961418</v>
      </c>
    </row>
    <row r="59" spans="2:14" outlineLevel="1" x14ac:dyDescent="0.3">
      <c r="B59" s="42"/>
      <c r="C59" s="42"/>
      <c r="D59" s="42"/>
      <c r="E59" s="42"/>
      <c r="F59" s="74"/>
      <c r="G59" s="74"/>
      <c r="H59" s="96"/>
      <c r="I59" s="96"/>
      <c r="J59" s="97"/>
      <c r="K59" s="98"/>
      <c r="L59" s="98"/>
      <c r="M59" s="81"/>
      <c r="N59" s="81"/>
    </row>
    <row r="60" spans="2:14" outlineLevel="1" x14ac:dyDescent="0.3">
      <c r="I60" s="94" t="s">
        <v>189</v>
      </c>
      <c r="J60" s="104">
        <f>AVERAGE(J54:J58)</f>
        <v>0.3</v>
      </c>
      <c r="K60" s="105">
        <f>AVERAGE(K54:K58)</f>
        <v>1.3422763275334582E-2</v>
      </c>
      <c r="L60" s="105">
        <f t="shared" ref="L60:N60" si="4">AVERAGE(L54:L58)</f>
        <v>1.312306768235114E-2</v>
      </c>
      <c r="M60" s="106">
        <f t="shared" si="4"/>
        <v>0.312</v>
      </c>
      <c r="N60" s="106">
        <f t="shared" si="4"/>
        <v>0.30919743793526228</v>
      </c>
    </row>
    <row r="61" spans="2:14" outlineLevel="1" x14ac:dyDescent="0.3">
      <c r="I61" s="112" t="s">
        <v>188</v>
      </c>
      <c r="J61" s="107">
        <f>MEDIAN(J54:J58)</f>
        <v>0.3</v>
      </c>
      <c r="K61" s="108">
        <f t="shared" ref="K61:N61" si="5">MEDIAN(K54:K58)</f>
        <v>1.3215879451648392E-2</v>
      </c>
      <c r="L61" s="108">
        <f t="shared" si="5"/>
        <v>1.3043498152437974E-2</v>
      </c>
      <c r="M61" s="109">
        <f t="shared" si="5"/>
        <v>0.25</v>
      </c>
      <c r="N61" s="109">
        <f t="shared" si="5"/>
        <v>0.24965693334225991</v>
      </c>
    </row>
    <row r="62" spans="2:14" outlineLevel="1" x14ac:dyDescent="0.3"/>
    <row r="63" spans="2:14" outlineLevel="1" x14ac:dyDescent="0.3"/>
    <row r="64" spans="2:14" outlineLevel="1" x14ac:dyDescent="0.3"/>
    <row r="65" spans="2:14" outlineLevel="1" x14ac:dyDescent="0.3">
      <c r="B65" s="112" t="s">
        <v>190</v>
      </c>
      <c r="C65" s="102"/>
      <c r="D65" s="102"/>
      <c r="E65" s="102"/>
      <c r="F65" s="102"/>
      <c r="G65" s="102"/>
      <c r="I65" s="112" t="s">
        <v>202</v>
      </c>
      <c r="J65" s="102"/>
      <c r="K65" s="102"/>
      <c r="L65" s="102"/>
      <c r="M65" s="102"/>
      <c r="N65" s="102"/>
    </row>
    <row r="66" spans="2:14" outlineLevel="1" x14ac:dyDescent="0.3"/>
    <row r="67" spans="2:14" outlineLevel="1" x14ac:dyDescent="0.3">
      <c r="B67" t="s">
        <v>191</v>
      </c>
      <c r="G67" s="121">
        <v>7.0000000000000007E-2</v>
      </c>
      <c r="I67" t="s">
        <v>203</v>
      </c>
      <c r="N67" s="121">
        <v>6.5000000000000002E-2</v>
      </c>
    </row>
    <row r="68" spans="2:14" outlineLevel="1" x14ac:dyDescent="0.3">
      <c r="B68" t="s">
        <v>192</v>
      </c>
      <c r="G68" s="101">
        <f>N60</f>
        <v>0.30919743793526228</v>
      </c>
      <c r="I68" t="s">
        <v>195</v>
      </c>
      <c r="N68" s="95">
        <f>G70</f>
        <v>2.1651399782261174E-2</v>
      </c>
    </row>
    <row r="69" spans="2:14" outlineLevel="1" x14ac:dyDescent="0.3">
      <c r="B69" t="s">
        <v>193</v>
      </c>
      <c r="G69" s="101">
        <f>G68 * (1 + (1 - N77) *G81)</f>
        <v>0.30930571117515959</v>
      </c>
      <c r="I69" t="s">
        <v>204</v>
      </c>
      <c r="N69" s="121">
        <v>2.93E-2</v>
      </c>
    </row>
    <row r="70" spans="2:14" outlineLevel="1" x14ac:dyDescent="0.3">
      <c r="B70" t="s">
        <v>195</v>
      </c>
      <c r="G70" s="124">
        <f>G67 * G69</f>
        <v>2.1651399782261174E-2</v>
      </c>
      <c r="I70" t="s">
        <v>202</v>
      </c>
      <c r="N70" s="124">
        <f>SUM(N67:N69)</f>
        <v>0.11595139978226118</v>
      </c>
    </row>
    <row r="71" spans="2:14" outlineLevel="1" x14ac:dyDescent="0.3"/>
    <row r="72" spans="2:14" outlineLevel="1" x14ac:dyDescent="0.3"/>
    <row r="73" spans="2:14" outlineLevel="1" x14ac:dyDescent="0.3"/>
    <row r="74" spans="2:14" outlineLevel="1" x14ac:dyDescent="0.3">
      <c r="B74" s="112" t="s">
        <v>196</v>
      </c>
      <c r="C74" s="102"/>
      <c r="D74" s="102"/>
      <c r="E74" s="102"/>
      <c r="F74" s="102"/>
      <c r="G74" s="102"/>
      <c r="I74" s="112" t="s">
        <v>205</v>
      </c>
      <c r="J74" s="102"/>
      <c r="K74" s="102"/>
      <c r="L74" s="102"/>
      <c r="M74" s="102"/>
      <c r="N74" s="102"/>
    </row>
    <row r="75" spans="2:14" outlineLevel="1" x14ac:dyDescent="0.3">
      <c r="B75" s="39"/>
    </row>
    <row r="76" spans="2:14" outlineLevel="1" x14ac:dyDescent="0.3">
      <c r="F76" s="122" t="s">
        <v>199</v>
      </c>
      <c r="G76" s="122" t="s">
        <v>200</v>
      </c>
      <c r="I76" t="s">
        <v>206</v>
      </c>
      <c r="N76" s="121">
        <v>4.2999999999999997E-2</v>
      </c>
    </row>
    <row r="77" spans="2:14" outlineLevel="1" x14ac:dyDescent="0.3">
      <c r="B77" t="s">
        <v>16</v>
      </c>
      <c r="E77" s="74">
        <v>362.97</v>
      </c>
      <c r="F77" s="95">
        <f>E77 / E79</f>
        <v>7.1199840201014363E-4</v>
      </c>
      <c r="G77" s="121">
        <v>5.0000000000000001E-4</v>
      </c>
      <c r="I77" t="s">
        <v>150</v>
      </c>
      <c r="N77" s="43">
        <v>0.3</v>
      </c>
    </row>
    <row r="78" spans="2:14" outlineLevel="1" x14ac:dyDescent="0.3">
      <c r="B78" t="s">
        <v>197</v>
      </c>
      <c r="E78" s="74">
        <v>509427.5</v>
      </c>
      <c r="F78" s="95">
        <f>E78 / E79</f>
        <v>0.99928800159798992</v>
      </c>
      <c r="G78" s="95">
        <f>1-G77</f>
        <v>0.99950000000000006</v>
      </c>
      <c r="I78" t="s">
        <v>207</v>
      </c>
      <c r="N78" s="124">
        <f>N76* (1 - N77)</f>
        <v>3.0099999999999995E-2</v>
      </c>
    </row>
    <row r="79" spans="2:14" outlineLevel="1" x14ac:dyDescent="0.3">
      <c r="B79" t="s">
        <v>198</v>
      </c>
      <c r="E79" s="123">
        <f>SUM(E77:E78)</f>
        <v>509790.47</v>
      </c>
      <c r="F79" s="124">
        <f>SUM(F77:F78)</f>
        <v>1</v>
      </c>
      <c r="G79" s="124">
        <f>SUM(G77:G78)</f>
        <v>1</v>
      </c>
    </row>
    <row r="80" spans="2:14" outlineLevel="1" x14ac:dyDescent="0.3"/>
    <row r="81" spans="2:14" outlineLevel="1" x14ac:dyDescent="0.3">
      <c r="B81" s="38" t="s">
        <v>201</v>
      </c>
      <c r="F81" s="124">
        <f>F77 / F78</f>
        <v>7.1250570493347932E-4</v>
      </c>
      <c r="G81" s="124">
        <f>G77/G78</f>
        <v>5.0025012506253123E-4</v>
      </c>
      <c r="I81" s="112" t="s">
        <v>239</v>
      </c>
      <c r="J81" s="102"/>
      <c r="K81" s="102"/>
      <c r="L81" s="102"/>
      <c r="M81" s="102"/>
      <c r="N81" s="103"/>
    </row>
    <row r="82" spans="2:14" outlineLevel="1" x14ac:dyDescent="0.3"/>
    <row r="83" spans="2:14" outlineLevel="1" x14ac:dyDescent="0.3">
      <c r="M83" s="157" t="s">
        <v>240</v>
      </c>
      <c r="N83" s="157" t="s">
        <v>241</v>
      </c>
    </row>
    <row r="84" spans="2:14" outlineLevel="1" x14ac:dyDescent="0.3">
      <c r="I84" t="s">
        <v>242</v>
      </c>
      <c r="M84" s="95">
        <f>G77</f>
        <v>5.0000000000000001E-4</v>
      </c>
      <c r="N84" s="95">
        <f>N78</f>
        <v>3.0099999999999995E-2</v>
      </c>
    </row>
    <row r="85" spans="2:14" ht="18" outlineLevel="1" x14ac:dyDescent="0.35">
      <c r="B85" s="151"/>
      <c r="I85" t="s">
        <v>243</v>
      </c>
      <c r="M85" s="95">
        <f>G78</f>
        <v>0.99950000000000006</v>
      </c>
      <c r="N85" s="95">
        <f>N70</f>
        <v>0.11595139978226118</v>
      </c>
    </row>
    <row r="86" spans="2:14" outlineLevel="1" x14ac:dyDescent="0.3"/>
    <row r="87" spans="2:14" outlineLevel="1" x14ac:dyDescent="0.3">
      <c r="B87" s="39"/>
    </row>
    <row r="88" spans="2:14" ht="15" outlineLevel="1" thickBot="1" x14ac:dyDescent="0.35">
      <c r="B88" s="40"/>
      <c r="F88" s="19"/>
      <c r="H88" s="91"/>
      <c r="I88" s="39" t="s">
        <v>239</v>
      </c>
      <c r="J88" s="39"/>
      <c r="K88" s="39"/>
      <c r="L88" s="39"/>
      <c r="M88" s="39"/>
      <c r="N88" s="158">
        <f>SUMPRODUCT(M84:M85, N84:N85)</f>
        <v>0.11590847408237007</v>
      </c>
    </row>
    <row r="89" spans="2:14" outlineLevel="1" x14ac:dyDescent="0.3">
      <c r="B89" s="40"/>
      <c r="F89" s="19"/>
      <c r="H89" s="91"/>
    </row>
    <row r="90" spans="2:14" x14ac:dyDescent="0.3">
      <c r="B90" s="40"/>
      <c r="F90" s="19"/>
      <c r="H90" s="91"/>
    </row>
    <row r="91" spans="2:14" ht="18" x14ac:dyDescent="0.35">
      <c r="B91" s="12" t="s">
        <v>165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2:14" outlineLevel="1" x14ac:dyDescent="0.3">
      <c r="B92" s="40"/>
      <c r="H92" s="92"/>
    </row>
    <row r="93" spans="2:14" outlineLevel="1" x14ac:dyDescent="0.3">
      <c r="B93" s="40"/>
      <c r="H93" s="92"/>
    </row>
    <row r="94" spans="2:14" outlineLevel="1" x14ac:dyDescent="0.3">
      <c r="B94" s="40" t="s">
        <v>237</v>
      </c>
      <c r="E94" s="159">
        <v>20</v>
      </c>
      <c r="H94" s="92"/>
      <c r="I94" t="s">
        <v>166</v>
      </c>
      <c r="L94" s="180" t="s">
        <v>270</v>
      </c>
      <c r="N94" s="90">
        <v>46022</v>
      </c>
    </row>
    <row r="95" spans="2:14" outlineLevel="1" x14ac:dyDescent="0.3">
      <c r="B95" s="40" t="s">
        <v>248</v>
      </c>
      <c r="E95" s="21">
        <v>-3649.3900000000003</v>
      </c>
      <c r="H95" s="42"/>
      <c r="I95" t="s">
        <v>167</v>
      </c>
      <c r="L95" s="180" t="s">
        <v>270</v>
      </c>
      <c r="N95" s="90">
        <v>46022</v>
      </c>
    </row>
    <row r="96" spans="2:14" outlineLevel="1" x14ac:dyDescent="0.3">
      <c r="B96" s="40" t="s">
        <v>264</v>
      </c>
      <c r="E96" s="21">
        <v>30209.279999999999</v>
      </c>
      <c r="I96" t="s">
        <v>168</v>
      </c>
      <c r="L96" s="180" t="s">
        <v>270</v>
      </c>
      <c r="N96" s="90">
        <v>46112</v>
      </c>
    </row>
    <row r="97" spans="2:14" outlineLevel="1" x14ac:dyDescent="0.3">
      <c r="B97" s="40" t="s">
        <v>253</v>
      </c>
      <c r="E97" s="21">
        <v>1252.9000000000001</v>
      </c>
      <c r="I97" t="s">
        <v>169</v>
      </c>
      <c r="N97" s="42">
        <v>2026</v>
      </c>
    </row>
    <row r="98" spans="2:14" outlineLevel="1" x14ac:dyDescent="0.3">
      <c r="B98" s="40" t="s">
        <v>276</v>
      </c>
      <c r="D98" s="221" t="s">
        <v>256</v>
      </c>
      <c r="E98" s="21">
        <v>404.5</v>
      </c>
      <c r="I98" t="s">
        <v>170</v>
      </c>
      <c r="N98" s="92">
        <f>IF(N94&gt;N95, 1, 0)</f>
        <v>0</v>
      </c>
    </row>
    <row r="99" spans="2:14" outlineLevel="1" x14ac:dyDescent="0.3">
      <c r="I99" t="s">
        <v>171</v>
      </c>
      <c r="N99" s="92">
        <f>IF(N95&gt;N96, 1, 0)</f>
        <v>0</v>
      </c>
    </row>
    <row r="100" spans="2:14" outlineLevel="1" x14ac:dyDescent="0.3">
      <c r="I100" t="s">
        <v>157</v>
      </c>
      <c r="N100" s="42">
        <v>365</v>
      </c>
    </row>
    <row r="101" spans="2:14" outlineLevel="1" x14ac:dyDescent="0.3"/>
    <row r="102" spans="2:14" outlineLevel="1" x14ac:dyDescent="0.3"/>
    <row r="106" spans="2:14" x14ac:dyDescent="0.3">
      <c r="F106" s="164"/>
      <c r="G106" s="164"/>
      <c r="H106" s="164"/>
    </row>
    <row r="107" spans="2:14" x14ac:dyDescent="0.3">
      <c r="F107" s="164"/>
      <c r="G107" s="164"/>
      <c r="H107" s="164"/>
    </row>
    <row r="108" spans="2:14" x14ac:dyDescent="0.3">
      <c r="F108" s="164"/>
      <c r="G108" s="164">
        <f>Model!J155</f>
        <v>515036.09388993948</v>
      </c>
      <c r="H108" s="164"/>
    </row>
    <row r="109" spans="2:14" x14ac:dyDescent="0.3">
      <c r="F109" s="164">
        <v>1</v>
      </c>
      <c r="G109" s="164">
        <f t="dataTable" ref="G109:G111" dt2D="0" dtr="0" r1="F8" ca="1"/>
        <v>572330.77816548292</v>
      </c>
      <c r="H109" s="164"/>
    </row>
    <row r="110" spans="2:14" x14ac:dyDescent="0.3">
      <c r="F110" s="164">
        <v>2</v>
      </c>
      <c r="G110" s="164">
        <v>515036.09388993948</v>
      </c>
      <c r="H110" s="164"/>
    </row>
    <row r="111" spans="2:14" x14ac:dyDescent="0.3">
      <c r="F111" s="164">
        <v>3</v>
      </c>
      <c r="G111" s="164">
        <v>464836.82764869672</v>
      </c>
      <c r="H111" s="164"/>
    </row>
    <row r="112" spans="2:14" x14ac:dyDescent="0.3">
      <c r="F112" s="164"/>
      <c r="G112" s="164"/>
      <c r="H112" s="164"/>
    </row>
  </sheetData>
  <sheetProtection algorithmName="SHA-512" hashValue="sFgEpPQHc4Ga0eR/5upvH4tpBm1MZMvV+NrnUy70kvchKi2BdlDe4Ct40jAmXUORERkly5vWNOYX+uYZ8OI7cw==" saltValue="gtyvC3OXV+92dsFM+H6s7Q==" spinCount="100000" sheet="1" scenario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3" name="Drop Down 2">
              <controlPr defaultSize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6</xdr:col>
                    <xdr:colOff>160020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834D-045C-4D0C-A988-36BF62D4937A}">
  <dimension ref="B8:O183"/>
  <sheetViews>
    <sheetView showGridLines="0" workbookViewId="0"/>
  </sheetViews>
  <sheetFormatPr defaultRowHeight="14.4" outlineLevelRow="1" x14ac:dyDescent="0.3"/>
  <cols>
    <col min="4" max="4" width="10.19921875" customWidth="1"/>
    <col min="6" max="6" width="8" customWidth="1"/>
    <col min="7" max="7" width="10.59765625" customWidth="1"/>
    <col min="8" max="8" width="9.3984375" bestFit="1" customWidth="1"/>
    <col min="10" max="10" width="9.5" customWidth="1"/>
    <col min="11" max="11" width="9.09765625" bestFit="1" customWidth="1"/>
    <col min="12" max="12" width="9.19921875" bestFit="1" customWidth="1"/>
    <col min="13" max="13" width="9.5" customWidth="1"/>
    <col min="14" max="14" width="10.59765625" customWidth="1"/>
    <col min="15" max="15" width="10.296875" customWidth="1"/>
  </cols>
  <sheetData>
    <row r="8" spans="2:15" ht="18" x14ac:dyDescent="0.35">
      <c r="B8" s="12" t="s">
        <v>134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15" outlineLevel="1" x14ac:dyDescent="0.3"/>
    <row r="10" spans="2:15" ht="15" outlineLevel="1" thickBot="1" x14ac:dyDescent="0.35">
      <c r="B10" s="13" t="s">
        <v>135</v>
      </c>
      <c r="H10" s="83">
        <v>2023</v>
      </c>
      <c r="I10" s="83">
        <v>2024</v>
      </c>
      <c r="J10" s="83">
        <v>2025</v>
      </c>
      <c r="K10" s="14">
        <f>J10 + 1</f>
        <v>2026</v>
      </c>
      <c r="L10" s="14">
        <f t="shared" ref="L10:N10" si="0">K10 + 1</f>
        <v>2027</v>
      </c>
      <c r="M10" s="14">
        <f t="shared" si="0"/>
        <v>2028</v>
      </c>
      <c r="N10" s="14">
        <f t="shared" si="0"/>
        <v>2029</v>
      </c>
      <c r="O10" s="15" t="s">
        <v>136</v>
      </c>
    </row>
    <row r="11" spans="2:15" outlineLevel="1" x14ac:dyDescent="0.3">
      <c r="B11" s="13" t="str">
        <f>_xlfn.CONCAT("Model Currently Running:"," ",  INDEX(Inputs!$B$15:$B$17, Inputs!$F$8), " ", "Scenario")</f>
        <v>Model Currently Running: Base Case Scenario</v>
      </c>
    </row>
    <row r="12" spans="2:15" outlineLevel="1" x14ac:dyDescent="0.3"/>
    <row r="13" spans="2:15" outlineLevel="1" x14ac:dyDescent="0.3">
      <c r="B13" t="s">
        <v>137</v>
      </c>
      <c r="H13" s="61"/>
      <c r="I13" s="62">
        <f>I21/H21-1</f>
        <v>-4.0631661485294068E-2</v>
      </c>
      <c r="J13" s="62">
        <f t="shared" ref="J13" si="1">J21/I21-1</f>
        <v>0.1077632872263139</v>
      </c>
      <c r="K13" s="62">
        <f>Inputs!J13</f>
        <v>0.09</v>
      </c>
      <c r="L13" s="62">
        <f>Inputs!K13</f>
        <v>8.5000000000000006E-2</v>
      </c>
      <c r="M13" s="62">
        <f>Inputs!L13</f>
        <v>8.5000000000000006E-2</v>
      </c>
      <c r="N13" s="62">
        <f>Inputs!M13</f>
        <v>7.0000000000000007E-2</v>
      </c>
      <c r="O13" s="63">
        <f>Inputs!N13</f>
        <v>6.5000000000000002E-2</v>
      </c>
    </row>
    <row r="14" spans="2:15" outlineLevel="1" x14ac:dyDescent="0.3">
      <c r="B14" t="s">
        <v>138</v>
      </c>
      <c r="E14" s="19" t="s">
        <v>140</v>
      </c>
      <c r="F14" s="19"/>
      <c r="H14" s="64">
        <f>-H22/H21</f>
        <v>0.41939536953546447</v>
      </c>
      <c r="I14" s="65">
        <f>-I22 / I21</f>
        <v>0.40577857234433545</v>
      </c>
      <c r="J14" s="65">
        <f>-J22 / J21</f>
        <v>0.43368600351598557</v>
      </c>
      <c r="K14" s="65">
        <f>Inputs!J20</f>
        <v>0.42499999999999999</v>
      </c>
      <c r="L14" s="65">
        <f>Inputs!K20</f>
        <v>0.43</v>
      </c>
      <c r="M14" s="65">
        <f>Inputs!L20</f>
        <v>0.44</v>
      </c>
      <c r="N14" s="65">
        <f>Inputs!M20</f>
        <v>0.44500000000000001</v>
      </c>
      <c r="O14" s="66">
        <f>Inputs!N20</f>
        <v>0.45</v>
      </c>
    </row>
    <row r="15" spans="2:15" outlineLevel="1" x14ac:dyDescent="0.3">
      <c r="B15" t="s">
        <v>139</v>
      </c>
      <c r="E15" s="19" t="s">
        <v>140</v>
      </c>
      <c r="F15" s="19"/>
      <c r="H15" s="64">
        <f>-H25 / H21</f>
        <v>0.21466215067729874</v>
      </c>
      <c r="I15" s="65">
        <f>-I25 / I21</f>
        <v>0.22046951642236121</v>
      </c>
      <c r="J15" s="65">
        <f>-J25 / J21</f>
        <v>0.22018806397357812</v>
      </c>
      <c r="K15" s="65">
        <f>Inputs!J27</f>
        <v>0.20499999999999999</v>
      </c>
      <c r="L15" s="65">
        <f>Inputs!K27</f>
        <v>0.21</v>
      </c>
      <c r="M15" s="65">
        <f>Inputs!L27</f>
        <v>0.21</v>
      </c>
      <c r="N15" s="65">
        <f>Inputs!M27</f>
        <v>0.215</v>
      </c>
      <c r="O15" s="66">
        <f>Inputs!N27</f>
        <v>0.22</v>
      </c>
    </row>
    <row r="16" spans="2:15" outlineLevel="1" x14ac:dyDescent="0.3">
      <c r="B16" t="s">
        <v>144</v>
      </c>
      <c r="H16" s="27">
        <f>H31</f>
        <v>1456.23</v>
      </c>
      <c r="I16" s="20">
        <f>I31</f>
        <v>1657.64</v>
      </c>
      <c r="J16" s="20">
        <f t="shared" ref="J16:J17" si="2">J31</f>
        <v>1443.7</v>
      </c>
      <c r="K16" s="21">
        <v>1500</v>
      </c>
      <c r="L16" s="21">
        <v>1500</v>
      </c>
      <c r="M16" s="21">
        <v>1500</v>
      </c>
      <c r="N16" s="21">
        <v>1500</v>
      </c>
      <c r="O16" s="28">
        <v>1500</v>
      </c>
    </row>
    <row r="17" spans="2:15" outlineLevel="1" x14ac:dyDescent="0.3">
      <c r="B17" t="s">
        <v>149</v>
      </c>
      <c r="H17" s="27">
        <f t="shared" ref="H17" si="3">H32</f>
        <v>153.13</v>
      </c>
      <c r="I17" s="20">
        <f t="shared" ref="I17" si="4">I32</f>
        <v>148.06</v>
      </c>
      <c r="J17" s="20">
        <f t="shared" si="2"/>
        <v>151.21</v>
      </c>
      <c r="K17" s="21">
        <v>150</v>
      </c>
      <c r="L17" s="21">
        <v>150</v>
      </c>
      <c r="M17" s="21">
        <v>150</v>
      </c>
      <c r="N17" s="21">
        <v>150</v>
      </c>
      <c r="O17" s="28">
        <v>150</v>
      </c>
    </row>
    <row r="18" spans="2:15" outlineLevel="1" x14ac:dyDescent="0.3">
      <c r="B18" t="s">
        <v>150</v>
      </c>
      <c r="H18" s="29">
        <f>-H35 / H33</f>
        <v>0.25242628614533169</v>
      </c>
      <c r="I18" s="30">
        <f>-I35 / I33</f>
        <v>0.24374548089552261</v>
      </c>
      <c r="J18" s="30">
        <f>-J35 / J33</f>
        <v>0.26719634373143514</v>
      </c>
      <c r="K18" s="31">
        <v>0.3</v>
      </c>
      <c r="L18" s="31">
        <v>0.3</v>
      </c>
      <c r="M18" s="31">
        <v>0.3</v>
      </c>
      <c r="N18" s="31">
        <v>0.3</v>
      </c>
      <c r="O18" s="32">
        <v>0.3</v>
      </c>
    </row>
    <row r="19" spans="2:15" outlineLevel="1" x14ac:dyDescent="0.3"/>
    <row r="20" spans="2:15" outlineLevel="1" x14ac:dyDescent="0.3"/>
    <row r="21" spans="2:15" outlineLevel="1" x14ac:dyDescent="0.3">
      <c r="B21" t="s">
        <v>141</v>
      </c>
      <c r="H21" s="21">
        <v>70245.22</v>
      </c>
      <c r="I21" s="21">
        <v>67391.039999999994</v>
      </c>
      <c r="J21" s="21">
        <v>74653.320000000007</v>
      </c>
      <c r="K21" s="20">
        <f>J21 * (1 + K13)</f>
        <v>81372.118800000011</v>
      </c>
      <c r="L21" s="20">
        <f t="shared" ref="L21:O21" si="5">K21 * (1 + L13)</f>
        <v>88288.748898000005</v>
      </c>
      <c r="M21" s="20">
        <f t="shared" si="5"/>
        <v>95793.292554330008</v>
      </c>
      <c r="N21" s="20">
        <f t="shared" si="5"/>
        <v>102498.82303313311</v>
      </c>
      <c r="O21" s="20">
        <f t="shared" si="5"/>
        <v>109161.24653028676</v>
      </c>
    </row>
    <row r="22" spans="2:15" outlineLevel="1" x14ac:dyDescent="0.3">
      <c r="B22" t="s">
        <v>138</v>
      </c>
      <c r="H22" s="21">
        <v>-29460.52</v>
      </c>
      <c r="I22" s="21">
        <v>-27345.84</v>
      </c>
      <c r="J22" s="21">
        <v>-32376.1</v>
      </c>
      <c r="K22" s="20">
        <f>-(K21 * K14)</f>
        <v>-34583.150490000007</v>
      </c>
      <c r="L22" s="20">
        <f t="shared" ref="L22:O22" si="6">-(L21 * L14)</f>
        <v>-37964.162026140002</v>
      </c>
      <c r="M22" s="20">
        <f t="shared" si="6"/>
        <v>-42149.048723905202</v>
      </c>
      <c r="N22" s="20">
        <f t="shared" si="6"/>
        <v>-45611.976249744235</v>
      </c>
      <c r="O22" s="20">
        <f t="shared" si="6"/>
        <v>-49122.560938629045</v>
      </c>
    </row>
    <row r="23" spans="2:15" outlineLevel="1" x14ac:dyDescent="0.3">
      <c r="B23" t="s">
        <v>2</v>
      </c>
      <c r="H23" s="35">
        <f>SUM(H21:H22)</f>
        <v>40784.699999999997</v>
      </c>
      <c r="I23" s="35">
        <f t="shared" ref="I23:J23" si="7">SUM(I21:I22)</f>
        <v>40045.199999999997</v>
      </c>
      <c r="J23" s="35">
        <f t="shared" si="7"/>
        <v>42277.220000000008</v>
      </c>
      <c r="K23" s="35">
        <f>SUM(K21:K22)</f>
        <v>46788.968310000004</v>
      </c>
      <c r="L23" s="35">
        <f t="shared" ref="L23:O23" si="8">SUM(L21:L22)</f>
        <v>50324.586871860003</v>
      </c>
      <c r="M23" s="35">
        <f t="shared" si="8"/>
        <v>53644.243830424806</v>
      </c>
      <c r="N23" s="35">
        <f t="shared" si="8"/>
        <v>56886.846783388879</v>
      </c>
      <c r="O23" s="35">
        <f t="shared" si="8"/>
        <v>60038.685591657719</v>
      </c>
    </row>
    <row r="24" spans="2:15" outlineLevel="1" x14ac:dyDescent="0.3">
      <c r="H24" s="20"/>
      <c r="I24" s="20"/>
      <c r="J24" s="20"/>
      <c r="K24" s="20"/>
      <c r="L24" s="20"/>
      <c r="M24" s="20"/>
      <c r="N24" s="20"/>
      <c r="O24" s="20"/>
    </row>
    <row r="25" spans="2:15" outlineLevel="1" x14ac:dyDescent="0.3">
      <c r="B25" t="s">
        <v>139</v>
      </c>
      <c r="H25" s="21">
        <v>-15078.99</v>
      </c>
      <c r="I25" s="21">
        <v>-14857.67</v>
      </c>
      <c r="J25" s="21">
        <v>-16437.77</v>
      </c>
      <c r="K25" s="20">
        <f>-(K21 * K15)</f>
        <v>-16681.284354000003</v>
      </c>
      <c r="L25" s="20">
        <f t="shared" ref="L25:O25" si="9">-(L21 * L15)</f>
        <v>-18540.637268580002</v>
      </c>
      <c r="M25" s="20">
        <f t="shared" si="9"/>
        <v>-20116.591436409301</v>
      </c>
      <c r="N25" s="20">
        <f t="shared" si="9"/>
        <v>-22037.24695212362</v>
      </c>
      <c r="O25" s="20">
        <f t="shared" si="9"/>
        <v>-24015.474236663089</v>
      </c>
    </row>
    <row r="26" spans="2:15" outlineLevel="1" x14ac:dyDescent="0.3">
      <c r="B26" t="s">
        <v>103</v>
      </c>
      <c r="H26" s="35">
        <f>SUM(H23, H25)</f>
        <v>25705.71</v>
      </c>
      <c r="I26" s="35">
        <f t="shared" ref="I26:J26" si="10">SUM(I23, I25)</f>
        <v>25187.53</v>
      </c>
      <c r="J26" s="35">
        <f t="shared" si="10"/>
        <v>25839.450000000008</v>
      </c>
      <c r="K26" s="35">
        <f t="shared" ref="K26" si="11">SUM(K23, K25)</f>
        <v>30107.683956000001</v>
      </c>
      <c r="L26" s="35">
        <f t="shared" ref="L26" si="12">SUM(L23, L25)</f>
        <v>31783.949603280002</v>
      </c>
      <c r="M26" s="35">
        <f t="shared" ref="M26" si="13">SUM(M23, M25)</f>
        <v>33527.652394015502</v>
      </c>
      <c r="N26" s="35">
        <f t="shared" ref="N26" si="14">SUM(N23, N25)</f>
        <v>34849.599831265259</v>
      </c>
      <c r="O26" s="35">
        <f t="shared" ref="O26" si="15">SUM(O23, O25)</f>
        <v>36023.21135499463</v>
      </c>
    </row>
    <row r="27" spans="2:15" outlineLevel="1" x14ac:dyDescent="0.3">
      <c r="H27" s="20"/>
      <c r="I27" s="20"/>
      <c r="J27" s="20"/>
      <c r="K27" s="20"/>
      <c r="L27" s="20"/>
      <c r="M27" s="20"/>
      <c r="N27" s="20"/>
      <c r="O27" s="20"/>
    </row>
    <row r="28" spans="2:15" outlineLevel="1" x14ac:dyDescent="0.3">
      <c r="B28" t="s">
        <v>142</v>
      </c>
      <c r="H28" s="21">
        <v>-1809.01</v>
      </c>
      <c r="I28" s="21">
        <v>-1518.05</v>
      </c>
      <c r="J28" s="21">
        <v>-1646.32</v>
      </c>
      <c r="K28" s="20">
        <f>-K110</f>
        <v>-1560.4639999999999</v>
      </c>
      <c r="L28" s="20">
        <f t="shared" ref="L28:N28" si="16">-L110</f>
        <v>-1662.4639999999999</v>
      </c>
      <c r="M28" s="20">
        <f t="shared" si="16"/>
        <v>-1767.4639999999999</v>
      </c>
      <c r="N28" s="20">
        <f t="shared" si="16"/>
        <v>-1874.4639999999999</v>
      </c>
      <c r="O28" s="20">
        <f>-Inputs!N34</f>
        <v>-2700</v>
      </c>
    </row>
    <row r="29" spans="2:15" outlineLevel="1" x14ac:dyDescent="0.3">
      <c r="B29" t="s">
        <v>104</v>
      </c>
      <c r="H29" s="35">
        <f>SUM(H26, H28)</f>
        <v>23896.7</v>
      </c>
      <c r="I29" s="35">
        <f t="shared" ref="I29:J29" si="17">SUM(I26, I28)</f>
        <v>23669.48</v>
      </c>
      <c r="J29" s="35">
        <f t="shared" si="17"/>
        <v>24193.130000000008</v>
      </c>
      <c r="K29" s="35">
        <f t="shared" ref="K29" si="18">SUM(K26, K28)</f>
        <v>28547.219956000001</v>
      </c>
      <c r="L29" s="35">
        <f t="shared" ref="L29" si="19">SUM(L26, L28)</f>
        <v>30121.485603280002</v>
      </c>
      <c r="M29" s="35">
        <f t="shared" ref="M29" si="20">SUM(M26, M28)</f>
        <v>31760.188394015502</v>
      </c>
      <c r="N29" s="35">
        <f t="shared" ref="N29" si="21">SUM(N26, N28)</f>
        <v>32975.135831265259</v>
      </c>
      <c r="O29" s="35">
        <f t="shared" ref="O29" si="22">SUM(O26, O28)</f>
        <v>33323.21135499463</v>
      </c>
    </row>
    <row r="30" spans="2:15" outlineLevel="1" x14ac:dyDescent="0.3">
      <c r="H30" s="20"/>
      <c r="I30" s="20"/>
      <c r="J30" s="20"/>
      <c r="K30" s="20"/>
      <c r="L30" s="20"/>
      <c r="M30" s="20"/>
      <c r="N30" s="20"/>
      <c r="O30" s="20"/>
    </row>
    <row r="31" spans="2:15" outlineLevel="1" x14ac:dyDescent="0.3">
      <c r="B31" t="s">
        <v>144</v>
      </c>
      <c r="H31" s="21">
        <v>1456.23</v>
      </c>
      <c r="I31" s="21">
        <v>1657.64</v>
      </c>
      <c r="J31" s="21">
        <v>1443.7</v>
      </c>
      <c r="K31" s="20">
        <f>K16</f>
        <v>1500</v>
      </c>
      <c r="L31" s="20">
        <f t="shared" ref="L31:O31" si="23">L16</f>
        <v>1500</v>
      </c>
      <c r="M31" s="20">
        <f t="shared" si="23"/>
        <v>1500</v>
      </c>
      <c r="N31" s="20">
        <f t="shared" si="23"/>
        <v>1500</v>
      </c>
      <c r="O31" s="20">
        <f t="shared" si="23"/>
        <v>1500</v>
      </c>
    </row>
    <row r="32" spans="2:15" outlineLevel="1" x14ac:dyDescent="0.3">
      <c r="B32" t="s">
        <v>147</v>
      </c>
      <c r="H32" s="21">
        <v>153.13</v>
      </c>
      <c r="I32" s="21">
        <v>148.06</v>
      </c>
      <c r="J32" s="21">
        <v>151.21</v>
      </c>
      <c r="K32" s="20">
        <f>K17</f>
        <v>150</v>
      </c>
      <c r="L32" s="20">
        <f t="shared" ref="L32:O32" si="24">L17</f>
        <v>150</v>
      </c>
      <c r="M32" s="20">
        <f t="shared" si="24"/>
        <v>150</v>
      </c>
      <c r="N32" s="20">
        <f t="shared" si="24"/>
        <v>150</v>
      </c>
      <c r="O32" s="20">
        <f t="shared" si="24"/>
        <v>150</v>
      </c>
    </row>
    <row r="33" spans="2:15" outlineLevel="1" x14ac:dyDescent="0.3">
      <c r="B33" t="s">
        <v>143</v>
      </c>
      <c r="H33" s="35">
        <f>SUM(H29, H31:H32)</f>
        <v>25506.06</v>
      </c>
      <c r="I33" s="35">
        <f t="shared" ref="I33:J33" si="25">SUM(I29, I31:I32)</f>
        <v>25475.18</v>
      </c>
      <c r="J33" s="35">
        <f t="shared" si="25"/>
        <v>25788.040000000008</v>
      </c>
      <c r="K33" s="35">
        <f t="shared" ref="K33" si="26">SUM(K29, K31:K32)</f>
        <v>30197.219956000001</v>
      </c>
      <c r="L33" s="35">
        <f t="shared" ref="L33" si="27">SUM(L29, L31:L32)</f>
        <v>31771.485603280002</v>
      </c>
      <c r="M33" s="35">
        <f t="shared" ref="M33" si="28">SUM(M29, M31:M32)</f>
        <v>33410.188394015502</v>
      </c>
      <c r="N33" s="35">
        <f t="shared" ref="N33" si="29">SUM(N29, N31:N32)</f>
        <v>34625.135831265259</v>
      </c>
      <c r="O33" s="35">
        <f t="shared" ref="O33" si="30">SUM(O29, O31:O32)</f>
        <v>34973.21135499463</v>
      </c>
    </row>
    <row r="34" spans="2:15" outlineLevel="1" x14ac:dyDescent="0.3">
      <c r="H34" s="20"/>
      <c r="I34" s="20"/>
      <c r="J34" s="20"/>
      <c r="K34" s="20"/>
      <c r="L34" s="20"/>
      <c r="M34" s="20"/>
      <c r="N34" s="20"/>
      <c r="O34" s="20"/>
    </row>
    <row r="35" spans="2:15" outlineLevel="1" x14ac:dyDescent="0.3">
      <c r="B35" t="s">
        <v>145</v>
      </c>
      <c r="H35" s="21">
        <v>-6438.4</v>
      </c>
      <c r="I35" s="21">
        <v>-6209.46</v>
      </c>
      <c r="J35" s="21">
        <v>-6890.47</v>
      </c>
      <c r="K35" s="20">
        <f>-K33 * K18</f>
        <v>-9059.1659868000006</v>
      </c>
      <c r="L35" s="20">
        <f t="shared" ref="L35:O35" si="31">-L33 * L18</f>
        <v>-9531.4456809839994</v>
      </c>
      <c r="M35" s="20">
        <f t="shared" si="31"/>
        <v>-10023.05651820465</v>
      </c>
      <c r="N35" s="20">
        <f t="shared" si="31"/>
        <v>-10387.540749379577</v>
      </c>
      <c r="O35" s="20">
        <f t="shared" si="31"/>
        <v>-10491.963406498389</v>
      </c>
    </row>
    <row r="36" spans="2:15" outlineLevel="1" x14ac:dyDescent="0.3">
      <c r="H36" s="20"/>
      <c r="I36" s="20"/>
      <c r="J36" s="20"/>
      <c r="K36" s="20"/>
      <c r="L36" s="20"/>
      <c r="M36" s="20"/>
      <c r="N36" s="20"/>
      <c r="O36" s="20"/>
    </row>
    <row r="37" spans="2:15" ht="15" outlineLevel="1" thickBot="1" x14ac:dyDescent="0.35">
      <c r="B37" t="s">
        <v>13</v>
      </c>
      <c r="H37" s="36">
        <f>SUM(H33, H35)</f>
        <v>19067.660000000003</v>
      </c>
      <c r="I37" s="36">
        <f t="shared" ref="I37:O37" si="32">SUM(I33, I35)</f>
        <v>19265.72</v>
      </c>
      <c r="J37" s="36">
        <f t="shared" si="32"/>
        <v>18897.570000000007</v>
      </c>
      <c r="K37" s="36">
        <f t="shared" si="32"/>
        <v>21138.053969200002</v>
      </c>
      <c r="L37" s="36">
        <f t="shared" si="32"/>
        <v>22240.039922296004</v>
      </c>
      <c r="M37" s="36">
        <f t="shared" si="32"/>
        <v>23387.131875810854</v>
      </c>
      <c r="N37" s="36">
        <f t="shared" si="32"/>
        <v>24237.59508188568</v>
      </c>
      <c r="O37" s="36">
        <f t="shared" si="32"/>
        <v>24481.247948496239</v>
      </c>
    </row>
    <row r="38" spans="2:15" outlineLevel="1" x14ac:dyDescent="0.3"/>
    <row r="40" spans="2:15" ht="18" x14ac:dyDescent="0.35">
      <c r="B40" s="12" t="s">
        <v>156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2:15" outlineLevel="1" x14ac:dyDescent="0.3"/>
    <row r="42" spans="2:15" ht="15" outlineLevel="1" thickBot="1" x14ac:dyDescent="0.35">
      <c r="B42" s="13" t="s">
        <v>135</v>
      </c>
      <c r="H42" s="83">
        <v>2023</v>
      </c>
      <c r="I42" s="83">
        <v>2024</v>
      </c>
      <c r="J42" s="83">
        <v>2025</v>
      </c>
      <c r="K42" s="14">
        <f>J42 + 1</f>
        <v>2026</v>
      </c>
      <c r="L42" s="14">
        <f t="shared" ref="L42:N42" si="33">K42 + 1</f>
        <v>2027</v>
      </c>
      <c r="M42" s="14">
        <f t="shared" si="33"/>
        <v>2028</v>
      </c>
      <c r="N42" s="14">
        <f t="shared" si="33"/>
        <v>2029</v>
      </c>
      <c r="O42" s="15" t="s">
        <v>136</v>
      </c>
    </row>
    <row r="43" spans="2:15" outlineLevel="1" x14ac:dyDescent="0.3">
      <c r="B43" s="13" t="str">
        <f>_xlfn.CONCAT("Model Currently Running:"," ",  INDEX(Inputs!$B$15:$B$17, Inputs!$F$8), " ", "Scenario")</f>
        <v>Model Currently Running: Base Case Scenario</v>
      </c>
    </row>
    <row r="44" spans="2:15" outlineLevel="1" x14ac:dyDescent="0.3"/>
    <row r="45" spans="2:15" outlineLevel="1" x14ac:dyDescent="0.3">
      <c r="B45" t="s">
        <v>157</v>
      </c>
      <c r="H45" s="33">
        <v>365</v>
      </c>
      <c r="I45" s="23">
        <v>365</v>
      </c>
      <c r="J45" s="23">
        <v>365</v>
      </c>
      <c r="K45" s="23">
        <v>365</v>
      </c>
      <c r="L45" s="23">
        <v>365</v>
      </c>
      <c r="M45" s="23">
        <v>365</v>
      </c>
      <c r="N45" s="23">
        <v>365</v>
      </c>
      <c r="O45" s="24">
        <v>365</v>
      </c>
    </row>
    <row r="46" spans="2:15" outlineLevel="1" x14ac:dyDescent="0.3">
      <c r="B46" t="s">
        <v>141</v>
      </c>
      <c r="H46" s="27">
        <f>H21</f>
        <v>70245.22</v>
      </c>
      <c r="I46" s="20">
        <f t="shared" ref="I46:O46" si="34">I21</f>
        <v>67391.039999999994</v>
      </c>
      <c r="J46" s="20">
        <f t="shared" si="34"/>
        <v>74653.320000000007</v>
      </c>
      <c r="K46" s="20">
        <f t="shared" si="34"/>
        <v>81372.118800000011</v>
      </c>
      <c r="L46" s="20">
        <f t="shared" si="34"/>
        <v>88288.748898000005</v>
      </c>
      <c r="M46" s="20">
        <f t="shared" si="34"/>
        <v>95793.292554330008</v>
      </c>
      <c r="N46" s="20">
        <f t="shared" si="34"/>
        <v>102498.82303313311</v>
      </c>
      <c r="O46" s="26">
        <f t="shared" si="34"/>
        <v>109161.24653028676</v>
      </c>
    </row>
    <row r="47" spans="2:15" outlineLevel="1" x14ac:dyDescent="0.3">
      <c r="B47" t="s">
        <v>138</v>
      </c>
      <c r="H47" s="34">
        <f>-H22</f>
        <v>29460.52</v>
      </c>
      <c r="I47" s="68">
        <f t="shared" ref="I47:O47" si="35">-I22</f>
        <v>27345.84</v>
      </c>
      <c r="J47" s="68">
        <f t="shared" si="35"/>
        <v>32376.1</v>
      </c>
      <c r="K47" s="68">
        <f t="shared" si="35"/>
        <v>34583.150490000007</v>
      </c>
      <c r="L47" s="68">
        <f t="shared" si="35"/>
        <v>37964.162026140002</v>
      </c>
      <c r="M47" s="68">
        <f t="shared" si="35"/>
        <v>42149.048723905202</v>
      </c>
      <c r="N47" s="68">
        <f t="shared" si="35"/>
        <v>45611.976249744235</v>
      </c>
      <c r="O47" s="69">
        <f t="shared" si="35"/>
        <v>49122.560938629045</v>
      </c>
    </row>
    <row r="48" spans="2:15" outlineLevel="1" x14ac:dyDescent="0.3"/>
    <row r="49" spans="2:15" outlineLevel="1" x14ac:dyDescent="0.3"/>
    <row r="50" spans="2:15" outlineLevel="1" x14ac:dyDescent="0.3">
      <c r="B50" s="39" t="s">
        <v>163</v>
      </c>
    </row>
    <row r="51" spans="2:15" outlineLevel="1" x14ac:dyDescent="0.3">
      <c r="B51" s="40" t="s">
        <v>87</v>
      </c>
      <c r="E51" s="19" t="s">
        <v>158</v>
      </c>
      <c r="F51" s="19"/>
      <c r="H51" s="20">
        <f>(H57 / H46)* H$45</f>
        <v>32.02579833901865</v>
      </c>
      <c r="I51" s="20">
        <f t="shared" ref="I51:J51" si="36">(I57 / I46)* I$45</f>
        <v>29.248673859314238</v>
      </c>
      <c r="J51" s="20">
        <f t="shared" si="36"/>
        <v>20.910856342356908</v>
      </c>
      <c r="K51" s="1">
        <f>Inputs!J43</f>
        <v>30</v>
      </c>
      <c r="L51">
        <f>Inputs!K43</f>
        <v>30</v>
      </c>
      <c r="M51">
        <f>Inputs!L43</f>
        <v>30</v>
      </c>
      <c r="N51">
        <f>Inputs!M43</f>
        <v>30</v>
      </c>
      <c r="O51">
        <f>Inputs!N43</f>
        <v>30</v>
      </c>
    </row>
    <row r="52" spans="2:15" outlineLevel="1" x14ac:dyDescent="0.3">
      <c r="B52" s="40" t="s">
        <v>81</v>
      </c>
      <c r="E52" s="19" t="s">
        <v>158</v>
      </c>
      <c r="F52" s="19"/>
      <c r="G52" s="67"/>
      <c r="H52" s="20">
        <f>(H58 / H47) * H45</f>
        <v>196.20125849781334</v>
      </c>
      <c r="I52" s="20">
        <f t="shared" ref="I52:J52" si="37">(I58 / I47) * I45</f>
        <v>190.90842336530892</v>
      </c>
      <c r="J52" s="20">
        <f t="shared" si="37"/>
        <v>134.316901973987</v>
      </c>
      <c r="K52">
        <f>Inputs!J44</f>
        <v>175</v>
      </c>
      <c r="L52">
        <f>Inputs!K44</f>
        <v>175</v>
      </c>
      <c r="M52">
        <f>Inputs!L44</f>
        <v>175</v>
      </c>
      <c r="N52">
        <f>Inputs!M44</f>
        <v>175</v>
      </c>
      <c r="O52">
        <f>Inputs!N44</f>
        <v>175</v>
      </c>
    </row>
    <row r="53" spans="2:15" outlineLevel="1" x14ac:dyDescent="0.3">
      <c r="B53" s="40" t="s">
        <v>54</v>
      </c>
      <c r="E53" s="19" t="s">
        <v>158</v>
      </c>
      <c r="F53" s="19"/>
      <c r="H53" s="20">
        <f>(H59/H47) * H45</f>
        <v>78.030691583176392</v>
      </c>
      <c r="I53" s="20">
        <f t="shared" ref="I53:J53" si="38">(I59/I47) * I45</f>
        <v>79.977325618814405</v>
      </c>
      <c r="J53" s="20">
        <f t="shared" si="38"/>
        <v>65.523813862695008</v>
      </c>
      <c r="K53">
        <f>Inputs!J45</f>
        <v>75</v>
      </c>
      <c r="L53">
        <f>Inputs!K45</f>
        <v>75</v>
      </c>
      <c r="M53">
        <f>Inputs!L45</f>
        <v>75</v>
      </c>
      <c r="N53">
        <f>Inputs!M45</f>
        <v>75</v>
      </c>
      <c r="O53">
        <f>Inputs!N45</f>
        <v>75</v>
      </c>
    </row>
    <row r="54" spans="2:15" outlineLevel="1" x14ac:dyDescent="0.3"/>
    <row r="55" spans="2:15" outlineLevel="1" x14ac:dyDescent="0.3">
      <c r="J55" t="s">
        <v>159</v>
      </c>
    </row>
    <row r="56" spans="2:15" outlineLevel="1" x14ac:dyDescent="0.3">
      <c r="B56" s="39" t="s">
        <v>164</v>
      </c>
    </row>
    <row r="57" spans="2:15" outlineLevel="1" x14ac:dyDescent="0.3">
      <c r="B57" s="40" t="s">
        <v>87</v>
      </c>
      <c r="H57" s="21">
        <v>6163.45</v>
      </c>
      <c r="I57" s="21">
        <v>5400.27</v>
      </c>
      <c r="J57" s="21">
        <v>4276.8900000000003</v>
      </c>
      <c r="K57" s="20">
        <f>(K51 / K45) * K46</f>
        <v>6688.1193534246577</v>
      </c>
      <c r="L57" s="20">
        <f t="shared" ref="L57:O57" si="39">(L51 / L45) * L46</f>
        <v>7256.6094984657539</v>
      </c>
      <c r="M57" s="20">
        <f t="shared" si="39"/>
        <v>7873.4213058353425</v>
      </c>
      <c r="N57" s="20">
        <f t="shared" si="39"/>
        <v>8424.5607972438174</v>
      </c>
      <c r="O57" s="20">
        <f t="shared" si="39"/>
        <v>8972.1572490646649</v>
      </c>
    </row>
    <row r="58" spans="2:15" outlineLevel="1" x14ac:dyDescent="0.3">
      <c r="B58" s="40" t="s">
        <v>81</v>
      </c>
      <c r="H58" s="21">
        <v>15836.14</v>
      </c>
      <c r="I58" s="21">
        <v>14302.88</v>
      </c>
      <c r="J58" s="21">
        <v>11914.13</v>
      </c>
      <c r="K58" s="20">
        <f>(K52 / K45) * K47</f>
        <v>16580.962563698631</v>
      </c>
      <c r="L58" s="20">
        <f t="shared" ref="L58:O58" si="40">(L52 / L45) * L47</f>
        <v>18201.995491984933</v>
      </c>
      <c r="M58" s="20">
        <f t="shared" si="40"/>
        <v>20208.448018310712</v>
      </c>
      <c r="N58" s="20">
        <f t="shared" si="40"/>
        <v>21868.75573617874</v>
      </c>
      <c r="O58" s="20">
        <f t="shared" si="40"/>
        <v>23551.912778794747</v>
      </c>
    </row>
    <row r="59" spans="2:15" outlineLevel="1" x14ac:dyDescent="0.3">
      <c r="B59" s="40" t="s">
        <v>54</v>
      </c>
      <c r="H59" s="21">
        <v>6298.15</v>
      </c>
      <c r="I59" s="21">
        <v>5991.91</v>
      </c>
      <c r="J59" s="21">
        <v>5812.07</v>
      </c>
      <c r="K59" s="20">
        <f>(K53/K45) * K47</f>
        <v>7106.1268130136996</v>
      </c>
      <c r="L59" s="20">
        <f t="shared" ref="L59:O59" si="41">(L53/L45) * L47</f>
        <v>7800.8552108506847</v>
      </c>
      <c r="M59" s="20">
        <f t="shared" si="41"/>
        <v>8660.7634364188762</v>
      </c>
      <c r="N59" s="20">
        <f t="shared" si="41"/>
        <v>9372.3238869337456</v>
      </c>
      <c r="O59" s="20">
        <f t="shared" si="41"/>
        <v>10093.676905197748</v>
      </c>
    </row>
    <row r="60" spans="2:15" outlineLevel="1" x14ac:dyDescent="0.3"/>
    <row r="61" spans="2:15" outlineLevel="1" x14ac:dyDescent="0.3">
      <c r="B61" s="40"/>
    </row>
    <row r="62" spans="2:15" outlineLevel="1" x14ac:dyDescent="0.3">
      <c r="B62" s="80" t="s">
        <v>161</v>
      </c>
    </row>
    <row r="63" spans="2:15" outlineLevel="1" x14ac:dyDescent="0.3">
      <c r="B63" s="40" t="s">
        <v>77</v>
      </c>
      <c r="H63" s="20">
        <f>H57+ H58</f>
        <v>21999.59</v>
      </c>
      <c r="I63" s="20">
        <f t="shared" ref="I63:O63" si="42">I57+ I58</f>
        <v>19703.150000000001</v>
      </c>
      <c r="J63" s="20">
        <f t="shared" si="42"/>
        <v>16191.02</v>
      </c>
      <c r="K63" s="20">
        <f t="shared" si="42"/>
        <v>23269.081917123287</v>
      </c>
      <c r="L63" s="20">
        <f t="shared" si="42"/>
        <v>25458.604990450687</v>
      </c>
      <c r="M63" s="20">
        <f t="shared" si="42"/>
        <v>28081.869324146053</v>
      </c>
      <c r="N63" s="20">
        <f t="shared" si="42"/>
        <v>30293.316533422556</v>
      </c>
      <c r="O63" s="20">
        <f t="shared" si="42"/>
        <v>32524.070027859412</v>
      </c>
    </row>
    <row r="64" spans="2:15" outlineLevel="1" x14ac:dyDescent="0.3">
      <c r="B64" s="40" t="s">
        <v>42</v>
      </c>
      <c r="H64" s="20">
        <f>H59</f>
        <v>6298.15</v>
      </c>
      <c r="I64" s="20">
        <f t="shared" ref="I64:O64" si="43">I59</f>
        <v>5991.91</v>
      </c>
      <c r="J64" s="20">
        <f t="shared" si="43"/>
        <v>5812.07</v>
      </c>
      <c r="K64" s="20">
        <f t="shared" si="43"/>
        <v>7106.1268130136996</v>
      </c>
      <c r="L64" s="20">
        <f t="shared" si="43"/>
        <v>7800.8552108506847</v>
      </c>
      <c r="M64" s="20">
        <f t="shared" si="43"/>
        <v>8660.7634364188762</v>
      </c>
      <c r="N64" s="20">
        <f t="shared" si="43"/>
        <v>9372.3238869337456</v>
      </c>
      <c r="O64" s="20">
        <f t="shared" si="43"/>
        <v>10093.676905197748</v>
      </c>
    </row>
    <row r="65" spans="2:15" outlineLevel="1" x14ac:dyDescent="0.3">
      <c r="B65" s="40" t="s">
        <v>161</v>
      </c>
      <c r="H65" s="35">
        <f>H63-H64</f>
        <v>15701.44</v>
      </c>
      <c r="I65" s="35">
        <f t="shared" ref="I65:O65" si="44">I63-I64</f>
        <v>13711.240000000002</v>
      </c>
      <c r="J65" s="35">
        <f t="shared" si="44"/>
        <v>10378.950000000001</v>
      </c>
      <c r="K65" s="35">
        <f t="shared" si="44"/>
        <v>16162.955104109587</v>
      </c>
      <c r="L65" s="35">
        <f t="shared" si="44"/>
        <v>17657.749779600003</v>
      </c>
      <c r="M65" s="35">
        <f t="shared" si="44"/>
        <v>19421.105887727179</v>
      </c>
      <c r="N65" s="35">
        <f t="shared" si="44"/>
        <v>20920.992646488812</v>
      </c>
      <c r="O65" s="35">
        <f t="shared" si="44"/>
        <v>22430.393122661662</v>
      </c>
    </row>
    <row r="66" spans="2:15" outlineLevel="1" x14ac:dyDescent="0.3"/>
    <row r="67" spans="2:15" outlineLevel="1" x14ac:dyDescent="0.3"/>
    <row r="68" spans="2:15" ht="15" outlineLevel="1" thickBot="1" x14ac:dyDescent="0.35">
      <c r="B68" s="80" t="s">
        <v>232</v>
      </c>
      <c r="I68" s="36">
        <f>H65-I65</f>
        <v>1990.1999999999989</v>
      </c>
      <c r="J68" s="36">
        <f t="shared" ref="J68:O68" si="45">I65-J65</f>
        <v>3332.2900000000009</v>
      </c>
      <c r="K68" s="36">
        <f>J65-K65</f>
        <v>-5784.0051041095867</v>
      </c>
      <c r="L68" s="36">
        <f t="shared" si="45"/>
        <v>-1494.7946754904151</v>
      </c>
      <c r="M68" s="36">
        <f t="shared" si="45"/>
        <v>-1763.3561081271764</v>
      </c>
      <c r="N68" s="36">
        <f t="shared" si="45"/>
        <v>-1499.8867587616332</v>
      </c>
      <c r="O68" s="36">
        <f t="shared" si="45"/>
        <v>-1509.4004761728502</v>
      </c>
    </row>
    <row r="69" spans="2:15" outlineLevel="1" x14ac:dyDescent="0.3"/>
    <row r="71" spans="2:15" ht="18" x14ac:dyDescent="0.35">
      <c r="B71" s="12" t="s">
        <v>162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2:15" outlineLevel="1" x14ac:dyDescent="0.3"/>
    <row r="73" spans="2:15" ht="15" outlineLevel="1" thickBot="1" x14ac:dyDescent="0.35">
      <c r="B73" s="13" t="s">
        <v>135</v>
      </c>
      <c r="H73" s="83">
        <v>2023</v>
      </c>
      <c r="I73" s="83">
        <v>2024</v>
      </c>
      <c r="J73" s="83">
        <v>2025</v>
      </c>
      <c r="K73" s="14">
        <f>J73 + 1</f>
        <v>2026</v>
      </c>
      <c r="L73" s="14">
        <f t="shared" ref="L73:N73" si="46">K73 + 1</f>
        <v>2027</v>
      </c>
      <c r="M73" s="14">
        <f t="shared" si="46"/>
        <v>2028</v>
      </c>
      <c r="N73" s="14">
        <f t="shared" si="46"/>
        <v>2029</v>
      </c>
      <c r="O73" s="133"/>
    </row>
    <row r="74" spans="2:15" outlineLevel="1" x14ac:dyDescent="0.3">
      <c r="B74" s="13" t="str">
        <f>_xlfn.CONCAT("Model Currently Running:"," ",  INDEX(Inputs!$B$15:$B$17, Inputs!$F$8), " ", "Scenario")</f>
        <v>Model Currently Running: Base Case Scenario</v>
      </c>
      <c r="H74" s="82"/>
      <c r="I74" s="82"/>
      <c r="J74" s="82"/>
      <c r="K74" s="134"/>
      <c r="L74" s="134"/>
      <c r="M74" s="134"/>
      <c r="N74" s="134"/>
      <c r="O74" s="133"/>
    </row>
    <row r="75" spans="2:15" outlineLevel="1" x14ac:dyDescent="0.3"/>
    <row r="76" spans="2:15" outlineLevel="1" x14ac:dyDescent="0.3">
      <c r="B76" t="s">
        <v>148</v>
      </c>
      <c r="H76" s="87">
        <v>1833.91</v>
      </c>
      <c r="I76" s="88">
        <v>2617.9</v>
      </c>
      <c r="J76" s="88">
        <v>2610.63</v>
      </c>
      <c r="K76" s="89">
        <f>Inputs!J34</f>
        <v>2500</v>
      </c>
      <c r="L76" s="89">
        <f>Inputs!K34</f>
        <v>2600</v>
      </c>
      <c r="M76" s="89">
        <f>Inputs!L34</f>
        <v>2650</v>
      </c>
      <c r="N76" s="89">
        <f>Inputs!M34</f>
        <v>2700</v>
      </c>
      <c r="O76" s="1"/>
    </row>
    <row r="77" spans="2:15" outlineLevel="1" x14ac:dyDescent="0.3"/>
    <row r="78" spans="2:15" outlineLevel="1" x14ac:dyDescent="0.3"/>
    <row r="79" spans="2:15" outlineLevel="1" x14ac:dyDescent="0.3">
      <c r="B79" s="39" t="s">
        <v>208</v>
      </c>
      <c r="E79" s="130" t="s">
        <v>209</v>
      </c>
      <c r="L79" s="79" t="s">
        <v>218</v>
      </c>
    </row>
    <row r="80" spans="2:15" outlineLevel="1" x14ac:dyDescent="0.3">
      <c r="B80" s="125" t="s">
        <v>184</v>
      </c>
      <c r="C80" s="126"/>
      <c r="D80" s="126"/>
      <c r="E80" s="131">
        <v>20</v>
      </c>
      <c r="H80" s="67"/>
      <c r="K80" s="129" t="s">
        <v>211</v>
      </c>
      <c r="L80" s="129" t="s">
        <v>212</v>
      </c>
      <c r="M80" s="129" t="s">
        <v>213</v>
      </c>
      <c r="N80" s="129" t="s">
        <v>214</v>
      </c>
      <c r="O80" s="130"/>
    </row>
    <row r="81" spans="2:15" outlineLevel="1" x14ac:dyDescent="0.3">
      <c r="B81" s="127" t="s">
        <v>210</v>
      </c>
      <c r="C81" s="128"/>
      <c r="D81" s="128"/>
      <c r="E81" s="166">
        <f>Inputs!E96</f>
        <v>30209.279999999999</v>
      </c>
      <c r="K81" s="53">
        <f>MIN($E80-SUM($J81:J81), 1)</f>
        <v>1</v>
      </c>
      <c r="L81" s="54">
        <f>MIN($E80-SUM($J81:K81), 1)</f>
        <v>1</v>
      </c>
      <c r="M81" s="54">
        <f>MIN($E80-SUM($J81:L81), 1)</f>
        <v>1</v>
      </c>
      <c r="N81" s="55">
        <f>MIN($E80-SUM($J81:M81), 1)</f>
        <v>1</v>
      </c>
      <c r="O81" s="41"/>
    </row>
    <row r="82" spans="2:15" outlineLevel="1" x14ac:dyDescent="0.3"/>
    <row r="83" spans="2:15" outlineLevel="1" x14ac:dyDescent="0.3"/>
    <row r="84" spans="2:15" outlineLevel="1" x14ac:dyDescent="0.3"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</row>
    <row r="85" spans="2:15" outlineLevel="1" x14ac:dyDescent="0.3"/>
    <row r="86" spans="2:15" outlineLevel="1" x14ac:dyDescent="0.3">
      <c r="B86" s="39" t="s">
        <v>215</v>
      </c>
      <c r="C86" s="39"/>
      <c r="D86" s="39"/>
      <c r="E86" s="130" t="s">
        <v>209</v>
      </c>
      <c r="L86" s="79" t="s">
        <v>218</v>
      </c>
    </row>
    <row r="87" spans="2:15" outlineLevel="1" x14ac:dyDescent="0.3">
      <c r="B87" s="125" t="s">
        <v>216</v>
      </c>
      <c r="C87" s="126"/>
      <c r="D87" s="126"/>
      <c r="E87" s="131">
        <v>25</v>
      </c>
      <c r="K87" s="129" t="s">
        <v>211</v>
      </c>
      <c r="L87" s="129" t="s">
        <v>212</v>
      </c>
      <c r="M87" s="129" t="s">
        <v>213</v>
      </c>
      <c r="N87" s="129" t="s">
        <v>214</v>
      </c>
      <c r="O87" s="130"/>
    </row>
    <row r="88" spans="2:15" outlineLevel="1" x14ac:dyDescent="0.3">
      <c r="B88" s="127" t="s">
        <v>217</v>
      </c>
      <c r="C88" s="128"/>
      <c r="D88" s="128"/>
      <c r="E88" s="132">
        <v>0.5</v>
      </c>
      <c r="K88" s="53">
        <f>IF(J88="",E88,MIN($E87-SUM($J88:J88),1))</f>
        <v>0.5</v>
      </c>
      <c r="L88" s="54">
        <f>IF(K88="",F88,MIN($E87-SUM($J88:K88),1))</f>
        <v>1</v>
      </c>
      <c r="M88" s="54">
        <f>IF(L88="",G88,MIN($E87-SUM($J88:L88),1))</f>
        <v>1</v>
      </c>
      <c r="N88" s="55">
        <f>IF(M88="",H88,MIN($E87-SUM($J88:M88),1))</f>
        <v>1</v>
      </c>
      <c r="O88" s="41"/>
    </row>
    <row r="89" spans="2:15" outlineLevel="1" x14ac:dyDescent="0.3"/>
    <row r="90" spans="2:15" outlineLevel="1" x14ac:dyDescent="0.3"/>
    <row r="91" spans="2:15" outlineLevel="1" x14ac:dyDescent="0.3">
      <c r="L91" s="79" t="s">
        <v>218</v>
      </c>
    </row>
    <row r="92" spans="2:15" outlineLevel="1" x14ac:dyDescent="0.3">
      <c r="H92" s="39" t="s">
        <v>219</v>
      </c>
      <c r="I92" s="39" t="s">
        <v>220</v>
      </c>
      <c r="K92" s="135">
        <v>2026</v>
      </c>
      <c r="L92" s="135">
        <f t="shared" ref="L92:N92" si="47">K92 + 1</f>
        <v>2027</v>
      </c>
      <c r="M92" s="135">
        <f t="shared" si="47"/>
        <v>2028</v>
      </c>
      <c r="N92" s="135">
        <f t="shared" si="47"/>
        <v>2029</v>
      </c>
    </row>
    <row r="93" spans="2:15" outlineLevel="1" x14ac:dyDescent="0.3">
      <c r="H93" s="136">
        <v>2026</v>
      </c>
      <c r="I93" s="137">
        <f>$E$87</f>
        <v>25</v>
      </c>
      <c r="J93" s="143"/>
      <c r="K93" s="22">
        <f>K88</f>
        <v>0.5</v>
      </c>
      <c r="L93" s="22">
        <f t="shared" ref="L93:N93" si="48">L88</f>
        <v>1</v>
      </c>
      <c r="M93" s="22">
        <f t="shared" si="48"/>
        <v>1</v>
      </c>
      <c r="N93" s="59">
        <f t="shared" si="48"/>
        <v>1</v>
      </c>
    </row>
    <row r="94" spans="2:15" outlineLevel="1" x14ac:dyDescent="0.3">
      <c r="H94" s="138">
        <f>H93 + 1</f>
        <v>2027</v>
      </c>
      <c r="I94" s="139">
        <f t="shared" ref="I94:I96" si="49">$E$87</f>
        <v>25</v>
      </c>
      <c r="J94" s="144"/>
      <c r="K94" s="20">
        <f>J93</f>
        <v>0</v>
      </c>
      <c r="L94" s="25">
        <f t="shared" ref="L94:N96" si="50">K93</f>
        <v>0.5</v>
      </c>
      <c r="M94" s="25">
        <f t="shared" si="50"/>
        <v>1</v>
      </c>
      <c r="N94" s="60">
        <f t="shared" si="50"/>
        <v>1</v>
      </c>
    </row>
    <row r="95" spans="2:15" outlineLevel="1" x14ac:dyDescent="0.3">
      <c r="H95" s="138">
        <f>H94 + 1</f>
        <v>2028</v>
      </c>
      <c r="I95" s="139">
        <f t="shared" si="49"/>
        <v>25</v>
      </c>
      <c r="J95" s="144"/>
      <c r="K95" s="20">
        <f t="shared" ref="K95:K96" si="51">J94</f>
        <v>0</v>
      </c>
      <c r="L95" s="20">
        <f t="shared" si="50"/>
        <v>0</v>
      </c>
      <c r="M95" s="25">
        <f t="shared" si="50"/>
        <v>0.5</v>
      </c>
      <c r="N95" s="60">
        <f t="shared" si="50"/>
        <v>1</v>
      </c>
    </row>
    <row r="96" spans="2:15" outlineLevel="1" x14ac:dyDescent="0.3">
      <c r="H96" s="140">
        <f>H95 + 1</f>
        <v>2029</v>
      </c>
      <c r="I96" s="141">
        <f t="shared" si="49"/>
        <v>25</v>
      </c>
      <c r="J96" s="145"/>
      <c r="K96" s="68">
        <f t="shared" si="51"/>
        <v>0</v>
      </c>
      <c r="L96" s="68">
        <f t="shared" si="50"/>
        <v>0</v>
      </c>
      <c r="M96" s="68">
        <f t="shared" si="50"/>
        <v>0</v>
      </c>
      <c r="N96" s="142">
        <f t="shared" si="50"/>
        <v>0.5</v>
      </c>
    </row>
    <row r="97" spans="2:14" outlineLevel="1" x14ac:dyDescent="0.3"/>
    <row r="98" spans="2:14" outlineLevel="1" x14ac:dyDescent="0.3"/>
    <row r="99" spans="2:14" outlineLevel="1" x14ac:dyDescent="0.3">
      <c r="H99" s="39" t="s">
        <v>219</v>
      </c>
      <c r="I99" s="39" t="s">
        <v>221</v>
      </c>
      <c r="J99" s="39" t="s">
        <v>222</v>
      </c>
      <c r="K99" s="135">
        <v>2026</v>
      </c>
      <c r="L99" s="135">
        <f t="shared" ref="L99:N99" si="52">K99 + 1</f>
        <v>2027</v>
      </c>
      <c r="M99" s="135">
        <f t="shared" si="52"/>
        <v>2028</v>
      </c>
      <c r="N99" s="135">
        <f t="shared" si="52"/>
        <v>2029</v>
      </c>
    </row>
    <row r="100" spans="2:14" outlineLevel="1" x14ac:dyDescent="0.3">
      <c r="H100" s="136">
        <v>2026</v>
      </c>
      <c r="I100" s="137">
        <f>SUMIF($K$73:$N$73, H100, $K$76:$N$76)</f>
        <v>2500</v>
      </c>
      <c r="J100" s="146">
        <f>I100 / I93</f>
        <v>100</v>
      </c>
      <c r="K100" s="33">
        <f>$J100 * K93</f>
        <v>50</v>
      </c>
      <c r="L100" s="23">
        <f t="shared" ref="L100:N100" si="53">$J100 * L93</f>
        <v>100</v>
      </c>
      <c r="M100" s="23">
        <f t="shared" si="53"/>
        <v>100</v>
      </c>
      <c r="N100" s="24">
        <f t="shared" si="53"/>
        <v>100</v>
      </c>
    </row>
    <row r="101" spans="2:14" outlineLevel="1" x14ac:dyDescent="0.3">
      <c r="H101" s="138">
        <f>H100 + 1</f>
        <v>2027</v>
      </c>
      <c r="I101" s="139">
        <f>SUMIF($K$73:$N$73, H101, $K$76:$N$76)</f>
        <v>2600</v>
      </c>
      <c r="J101" s="147">
        <f t="shared" ref="J101:J103" si="54">I101 / I94</f>
        <v>104</v>
      </c>
      <c r="K101" s="27">
        <f t="shared" ref="K101:N101" si="55">$J101 * K94</f>
        <v>0</v>
      </c>
      <c r="L101" s="20">
        <f t="shared" si="55"/>
        <v>52</v>
      </c>
      <c r="M101" s="20">
        <f t="shared" si="55"/>
        <v>104</v>
      </c>
      <c r="N101" s="26">
        <f t="shared" si="55"/>
        <v>104</v>
      </c>
    </row>
    <row r="102" spans="2:14" outlineLevel="1" x14ac:dyDescent="0.3">
      <c r="H102" s="138">
        <f>H101 + 1</f>
        <v>2028</v>
      </c>
      <c r="I102" s="139">
        <f>SUMIF($K$73:$N$73, H102, $K$76:$N$76)</f>
        <v>2650</v>
      </c>
      <c r="J102" s="147">
        <f t="shared" si="54"/>
        <v>106</v>
      </c>
      <c r="K102" s="27">
        <f t="shared" ref="K102:N102" si="56">$J102 * K95</f>
        <v>0</v>
      </c>
      <c r="L102" s="20">
        <f t="shared" si="56"/>
        <v>0</v>
      </c>
      <c r="M102" s="20">
        <f t="shared" si="56"/>
        <v>53</v>
      </c>
      <c r="N102" s="26">
        <f t="shared" si="56"/>
        <v>106</v>
      </c>
    </row>
    <row r="103" spans="2:14" outlineLevel="1" x14ac:dyDescent="0.3">
      <c r="H103" s="140">
        <f>H102 + 1</f>
        <v>2029</v>
      </c>
      <c r="I103" s="141">
        <f>SUMIF($K$73:$N$73, H103, $K$76:$N$76)</f>
        <v>2700</v>
      </c>
      <c r="J103" s="148">
        <f t="shared" si="54"/>
        <v>108</v>
      </c>
      <c r="K103" s="34">
        <f t="shared" ref="K103:N103" si="57">$J103 * K96</f>
        <v>0</v>
      </c>
      <c r="L103" s="68">
        <f t="shared" si="57"/>
        <v>0</v>
      </c>
      <c r="M103" s="68">
        <f t="shared" si="57"/>
        <v>0</v>
      </c>
      <c r="N103" s="69">
        <f t="shared" si="57"/>
        <v>54</v>
      </c>
    </row>
    <row r="104" spans="2:14" outlineLevel="1" x14ac:dyDescent="0.3"/>
    <row r="105" spans="2:14" outlineLevel="1" x14ac:dyDescent="0.3"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</row>
    <row r="106" spans="2:14" outlineLevel="1" x14ac:dyDescent="0.3"/>
    <row r="107" spans="2:14" outlineLevel="1" x14ac:dyDescent="0.3">
      <c r="B107" s="149" t="s">
        <v>223</v>
      </c>
    </row>
    <row r="108" spans="2:14" outlineLevel="1" x14ac:dyDescent="0.3">
      <c r="B108" s="150" t="s">
        <v>224</v>
      </c>
      <c r="K108" s="20">
        <f>($E$81/$E$80)*K81</f>
        <v>1510.4639999999999</v>
      </c>
      <c r="L108" s="20">
        <f t="shared" ref="L108:N108" si="58">($E$81/$E$80)*L81</f>
        <v>1510.4639999999999</v>
      </c>
      <c r="M108" s="20">
        <f t="shared" si="58"/>
        <v>1510.4639999999999</v>
      </c>
      <c r="N108" s="20">
        <f t="shared" si="58"/>
        <v>1510.4639999999999</v>
      </c>
    </row>
    <row r="109" spans="2:14" outlineLevel="1" x14ac:dyDescent="0.3">
      <c r="B109" s="150" t="s">
        <v>225</v>
      </c>
      <c r="K109" s="20">
        <f>SUM(K100:K103)</f>
        <v>50</v>
      </c>
      <c r="L109" s="20">
        <f t="shared" ref="L109:N109" si="59">SUM(L100:L103)</f>
        <v>152</v>
      </c>
      <c r="M109" s="20">
        <f t="shared" si="59"/>
        <v>257</v>
      </c>
      <c r="N109" s="20">
        <f t="shared" si="59"/>
        <v>364</v>
      </c>
    </row>
    <row r="110" spans="2:14" ht="15" outlineLevel="1" thickBot="1" x14ac:dyDescent="0.35">
      <c r="B110" s="150" t="s">
        <v>226</v>
      </c>
      <c r="K110" s="36">
        <f>SUM(K108:K109)</f>
        <v>1560.4639999999999</v>
      </c>
      <c r="L110" s="36">
        <f t="shared" ref="L110:N110" si="60">SUM(L108:L109)</f>
        <v>1662.4639999999999</v>
      </c>
      <c r="M110" s="36">
        <f t="shared" si="60"/>
        <v>1767.4639999999999</v>
      </c>
      <c r="N110" s="36">
        <f t="shared" si="60"/>
        <v>1874.4639999999999</v>
      </c>
    </row>
    <row r="111" spans="2:14" outlineLevel="1" x14ac:dyDescent="0.3"/>
    <row r="113" spans="2:15" ht="18" x14ac:dyDescent="0.35">
      <c r="B113" s="12" t="s">
        <v>227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2:15" outlineLevel="1" x14ac:dyDescent="0.3"/>
    <row r="115" spans="2:15" ht="15" outlineLevel="1" thickBot="1" x14ac:dyDescent="0.35">
      <c r="B115" s="13" t="s">
        <v>135</v>
      </c>
      <c r="H115" s="82"/>
      <c r="I115" s="83">
        <v>2024</v>
      </c>
      <c r="J115" s="83">
        <v>2025</v>
      </c>
      <c r="K115" s="14">
        <f>J115 + 1</f>
        <v>2026</v>
      </c>
      <c r="L115" s="14">
        <f t="shared" ref="L115:N115" si="61">K115 + 1</f>
        <v>2027</v>
      </c>
      <c r="M115" s="14">
        <f t="shared" si="61"/>
        <v>2028</v>
      </c>
      <c r="N115" s="14">
        <f t="shared" si="61"/>
        <v>2029</v>
      </c>
      <c r="O115" s="15" t="s">
        <v>136</v>
      </c>
    </row>
    <row r="116" spans="2:15" outlineLevel="1" x14ac:dyDescent="0.3">
      <c r="B116" s="13" t="str">
        <f>_xlfn.CONCAT("Model Currently Running:"," ",  INDEX(Inputs!$B$15:$B$17, Inputs!$F$8), " ", "Scenario")</f>
        <v>Model Currently Running: Base Case Scenario</v>
      </c>
    </row>
    <row r="117" spans="2:15" outlineLevel="1" x14ac:dyDescent="0.3"/>
    <row r="118" spans="2:15" outlineLevel="1" x14ac:dyDescent="0.3"/>
    <row r="119" spans="2:15" outlineLevel="1" x14ac:dyDescent="0.3">
      <c r="B119" s="39" t="s">
        <v>228</v>
      </c>
    </row>
    <row r="120" spans="2:15" outlineLevel="1" x14ac:dyDescent="0.3">
      <c r="B120" s="40" t="s">
        <v>104</v>
      </c>
      <c r="I120" s="67">
        <f>I29</f>
        <v>23669.48</v>
      </c>
      <c r="J120" s="67">
        <f t="shared" ref="J120:O120" si="62">J29</f>
        <v>24193.130000000008</v>
      </c>
      <c r="K120" s="67">
        <f t="shared" si="62"/>
        <v>28547.219956000001</v>
      </c>
      <c r="L120" s="67">
        <f t="shared" si="62"/>
        <v>30121.485603280002</v>
      </c>
      <c r="M120" s="67">
        <f t="shared" si="62"/>
        <v>31760.188394015502</v>
      </c>
      <c r="N120" s="67">
        <f t="shared" si="62"/>
        <v>32975.135831265259</v>
      </c>
      <c r="O120" s="67">
        <f t="shared" si="62"/>
        <v>33323.21135499463</v>
      </c>
    </row>
    <row r="121" spans="2:15" outlineLevel="1" x14ac:dyDescent="0.3">
      <c r="B121" s="40" t="s">
        <v>229</v>
      </c>
      <c r="I121" s="67">
        <f>I35</f>
        <v>-6209.46</v>
      </c>
      <c r="J121" s="67">
        <f t="shared" ref="J121:O121" si="63">J35</f>
        <v>-6890.47</v>
      </c>
      <c r="K121" s="67">
        <f t="shared" si="63"/>
        <v>-9059.1659868000006</v>
      </c>
      <c r="L121" s="67">
        <f t="shared" si="63"/>
        <v>-9531.4456809839994</v>
      </c>
      <c r="M121" s="67">
        <f t="shared" si="63"/>
        <v>-10023.05651820465</v>
      </c>
      <c r="N121" s="67">
        <f t="shared" si="63"/>
        <v>-10387.540749379577</v>
      </c>
      <c r="O121" s="67">
        <f t="shared" si="63"/>
        <v>-10491.963406498389</v>
      </c>
    </row>
    <row r="122" spans="2:15" outlineLevel="1" x14ac:dyDescent="0.3">
      <c r="B122" s="79" t="s">
        <v>230</v>
      </c>
      <c r="C122" s="39"/>
      <c r="D122" s="39"/>
      <c r="E122" s="39"/>
      <c r="F122" s="39"/>
      <c r="G122" s="39"/>
      <c r="H122" s="39"/>
      <c r="I122" s="152">
        <f>SUM(I120:I121)</f>
        <v>17460.02</v>
      </c>
      <c r="J122" s="152">
        <f t="shared" ref="J122:O122" si="64">SUM(J120:J121)</f>
        <v>17302.660000000007</v>
      </c>
      <c r="K122" s="152">
        <f t="shared" si="64"/>
        <v>19488.053969200002</v>
      </c>
      <c r="L122" s="152">
        <f t="shared" si="64"/>
        <v>20590.039922296004</v>
      </c>
      <c r="M122" s="152">
        <f t="shared" si="64"/>
        <v>21737.131875810854</v>
      </c>
      <c r="N122" s="152">
        <f t="shared" si="64"/>
        <v>22587.59508188568</v>
      </c>
      <c r="O122" s="152">
        <f t="shared" si="64"/>
        <v>22831.247948496239</v>
      </c>
    </row>
    <row r="123" spans="2:15" outlineLevel="1" x14ac:dyDescent="0.3">
      <c r="B123" s="40" t="s">
        <v>231</v>
      </c>
      <c r="I123" s="67">
        <f>-I28</f>
        <v>1518.05</v>
      </c>
      <c r="J123" s="67">
        <f t="shared" ref="J123:O123" si="65">-J28</f>
        <v>1646.32</v>
      </c>
      <c r="K123" s="67">
        <f t="shared" si="65"/>
        <v>1560.4639999999999</v>
      </c>
      <c r="L123" s="67">
        <f t="shared" si="65"/>
        <v>1662.4639999999999</v>
      </c>
      <c r="M123" s="67">
        <f t="shared" si="65"/>
        <v>1767.4639999999999</v>
      </c>
      <c r="N123" s="67">
        <f t="shared" si="65"/>
        <v>1874.4639999999999</v>
      </c>
      <c r="O123" s="67">
        <f t="shared" si="65"/>
        <v>2700</v>
      </c>
    </row>
    <row r="124" spans="2:15" outlineLevel="1" x14ac:dyDescent="0.3">
      <c r="B124" s="40" t="s">
        <v>148</v>
      </c>
      <c r="I124" s="67">
        <f>-I76</f>
        <v>-2617.9</v>
      </c>
      <c r="J124" s="67">
        <f t="shared" ref="J124:N124" si="66">-J76</f>
        <v>-2610.63</v>
      </c>
      <c r="K124" s="67">
        <f t="shared" si="66"/>
        <v>-2500</v>
      </c>
      <c r="L124" s="67">
        <f t="shared" si="66"/>
        <v>-2600</v>
      </c>
      <c r="M124" s="67">
        <f t="shared" si="66"/>
        <v>-2650</v>
      </c>
      <c r="N124" s="67">
        <f t="shared" si="66"/>
        <v>-2700</v>
      </c>
      <c r="O124" s="67">
        <f>-Inputs!N34</f>
        <v>-2700</v>
      </c>
    </row>
    <row r="125" spans="2:15" outlineLevel="1" x14ac:dyDescent="0.3">
      <c r="B125" s="40" t="s">
        <v>232</v>
      </c>
      <c r="I125" s="67">
        <f>I68</f>
        <v>1990.1999999999989</v>
      </c>
      <c r="J125" s="67">
        <f t="shared" ref="J125:O125" si="67">J68</f>
        <v>3332.2900000000009</v>
      </c>
      <c r="K125" s="67">
        <f>K68</f>
        <v>-5784.0051041095867</v>
      </c>
      <c r="L125" s="67">
        <f t="shared" si="67"/>
        <v>-1494.7946754904151</v>
      </c>
      <c r="M125" s="67">
        <f t="shared" si="67"/>
        <v>-1763.3561081271764</v>
      </c>
      <c r="N125" s="67">
        <f t="shared" si="67"/>
        <v>-1499.8867587616332</v>
      </c>
      <c r="O125" s="67">
        <f t="shared" si="67"/>
        <v>-1509.4004761728502</v>
      </c>
    </row>
    <row r="126" spans="2:15" ht="15" outlineLevel="1" thickBot="1" x14ac:dyDescent="0.35">
      <c r="B126" s="79" t="s">
        <v>228</v>
      </c>
      <c r="I126" s="153">
        <f>SUM(I122:I125)</f>
        <v>18350.37</v>
      </c>
      <c r="J126" s="153">
        <f t="shared" ref="J126:O126" si="68">SUM(J122:J125)</f>
        <v>19670.640000000007</v>
      </c>
      <c r="K126" s="153">
        <f t="shared" si="68"/>
        <v>12764.512865090415</v>
      </c>
      <c r="L126" s="153">
        <f t="shared" si="68"/>
        <v>18157.709246805589</v>
      </c>
      <c r="M126" s="153">
        <f t="shared" si="68"/>
        <v>19091.239767683677</v>
      </c>
      <c r="N126" s="153">
        <f t="shared" si="68"/>
        <v>20262.172323124047</v>
      </c>
      <c r="O126" s="153">
        <f t="shared" si="68"/>
        <v>21321.847472323389</v>
      </c>
    </row>
    <row r="127" spans="2:15" outlineLevel="1" x14ac:dyDescent="0.3"/>
    <row r="129" spans="2:15" ht="18" x14ac:dyDescent="0.35">
      <c r="B129" s="12" t="s">
        <v>233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2:15" outlineLevel="1" x14ac:dyDescent="0.3"/>
    <row r="131" spans="2:15" ht="15" outlineLevel="1" thickBot="1" x14ac:dyDescent="0.35">
      <c r="B131" s="13" t="s">
        <v>135</v>
      </c>
      <c r="H131" s="82"/>
      <c r="I131" s="82"/>
      <c r="J131" s="172" t="s">
        <v>265</v>
      </c>
      <c r="K131" s="14"/>
      <c r="L131" s="167" t="s">
        <v>234</v>
      </c>
      <c r="M131" s="14"/>
      <c r="N131" s="14"/>
      <c r="O131" s="173" t="s">
        <v>136</v>
      </c>
    </row>
    <row r="132" spans="2:15" outlineLevel="1" x14ac:dyDescent="0.3">
      <c r="B132" s="13" t="str">
        <f>_xlfn.CONCAT("Model Currently Running:"," ",  INDEX(Inputs!$B$15:$B$17, Inputs!$F$8), " ", "Scenario")</f>
        <v>Model Currently Running: Base Case Scenario</v>
      </c>
      <c r="H132" s="82"/>
      <c r="I132" s="82"/>
      <c r="J132" s="174" t="s">
        <v>270</v>
      </c>
      <c r="K132" s="175" t="s">
        <v>270</v>
      </c>
      <c r="L132" s="175" t="s">
        <v>270</v>
      </c>
      <c r="M132" s="175" t="s">
        <v>270</v>
      </c>
      <c r="N132" s="175" t="s">
        <v>270</v>
      </c>
      <c r="O132" s="174" t="s">
        <v>270</v>
      </c>
    </row>
    <row r="133" spans="2:15" outlineLevel="1" x14ac:dyDescent="0.3">
      <c r="B133" s="13"/>
      <c r="H133" s="181" t="s">
        <v>272</v>
      </c>
      <c r="J133" s="176">
        <f>Inputs!N94</f>
        <v>46022</v>
      </c>
      <c r="K133" s="177">
        <f>Inputs!N96</f>
        <v>46112</v>
      </c>
      <c r="L133" s="177">
        <f>EDATE(K133, 12)</f>
        <v>46477</v>
      </c>
      <c r="M133" s="177">
        <f t="shared" ref="M133:N133" si="69">EDATE(L133, 12)</f>
        <v>46843</v>
      </c>
      <c r="N133" s="177">
        <f t="shared" si="69"/>
        <v>47208</v>
      </c>
      <c r="O133" s="176">
        <f t="shared" ref="O133" si="70">EDATE(N133, 12)</f>
        <v>47573</v>
      </c>
    </row>
    <row r="134" spans="2:15" outlineLevel="1" x14ac:dyDescent="0.3">
      <c r="B134" s="13"/>
      <c r="H134" s="181" t="s">
        <v>273</v>
      </c>
      <c r="J134" s="178">
        <f>J133</f>
        <v>46022</v>
      </c>
      <c r="K134" s="179">
        <f>Inputs!N95</f>
        <v>46022</v>
      </c>
      <c r="L134" s="179">
        <f t="shared" ref="L134:N134" si="71">EDATE(K134, 12)</f>
        <v>46387</v>
      </c>
      <c r="M134" s="179">
        <f t="shared" si="71"/>
        <v>46752</v>
      </c>
      <c r="N134" s="179">
        <f t="shared" si="71"/>
        <v>47118</v>
      </c>
      <c r="O134" s="178">
        <f t="shared" ref="O134" si="72">EDATE(N134, 12)</f>
        <v>47483</v>
      </c>
    </row>
    <row r="135" spans="2:15" outlineLevel="1" x14ac:dyDescent="0.3"/>
    <row r="136" spans="2:15" outlineLevel="1" x14ac:dyDescent="0.3">
      <c r="B136" t="s">
        <v>228</v>
      </c>
      <c r="J136" s="125"/>
      <c r="K136" s="154">
        <f>K126</f>
        <v>12764.512865090415</v>
      </c>
      <c r="L136" s="154">
        <f>L126</f>
        <v>18157.709246805589</v>
      </c>
      <c r="M136" s="154">
        <f>M126</f>
        <v>19091.239767683677</v>
      </c>
      <c r="N136" s="154">
        <f>N126</f>
        <v>20262.172323124047</v>
      </c>
      <c r="O136" s="155">
        <f>O126</f>
        <v>21321.847472323389</v>
      </c>
    </row>
    <row r="137" spans="2:15" outlineLevel="1" x14ac:dyDescent="0.3">
      <c r="B137" t="s">
        <v>103</v>
      </c>
      <c r="J137" s="127"/>
      <c r="K137" s="168"/>
      <c r="L137" s="128"/>
      <c r="M137" s="128"/>
      <c r="N137" s="128"/>
      <c r="O137" s="156">
        <f>O26</f>
        <v>36023.21135499463</v>
      </c>
    </row>
    <row r="138" spans="2:15" outlineLevel="1" x14ac:dyDescent="0.3"/>
    <row r="139" spans="2:15" outlineLevel="1" x14ac:dyDescent="0.3"/>
    <row r="140" spans="2:15" outlineLevel="1" x14ac:dyDescent="0.3">
      <c r="B140" s="39" t="s">
        <v>271</v>
      </c>
    </row>
    <row r="141" spans="2:15" outlineLevel="1" x14ac:dyDescent="0.3">
      <c r="B141" s="40" t="s">
        <v>234</v>
      </c>
      <c r="G141" s="170" t="s">
        <v>268</v>
      </c>
      <c r="J141" s="67">
        <v>0</v>
      </c>
      <c r="K141" s="67">
        <f>K136</f>
        <v>12764.512865090415</v>
      </c>
      <c r="L141" s="67">
        <f t="shared" ref="L141:O141" si="73">L136</f>
        <v>18157.709246805589</v>
      </c>
      <c r="M141" s="67">
        <f t="shared" si="73"/>
        <v>19091.239767683677</v>
      </c>
      <c r="N141" s="67">
        <f t="shared" si="73"/>
        <v>20262.172323124047</v>
      </c>
      <c r="O141" s="67">
        <f t="shared" si="73"/>
        <v>21321.847472323389</v>
      </c>
    </row>
    <row r="142" spans="2:15" outlineLevel="1" x14ac:dyDescent="0.3">
      <c r="B142" s="40" t="s">
        <v>235</v>
      </c>
      <c r="G142" s="171" t="s">
        <v>269</v>
      </c>
      <c r="J142" s="67">
        <v>0</v>
      </c>
      <c r="K142" s="67">
        <v>0</v>
      </c>
      <c r="L142" s="67">
        <v>0</v>
      </c>
      <c r="M142" s="67">
        <v>0</v>
      </c>
      <c r="N142" s="67">
        <v>0</v>
      </c>
      <c r="O142" s="67">
        <f>( O137 *D153)/(1 + D154) ^ G143</f>
        <v>700979.43649248767</v>
      </c>
    </row>
    <row r="143" spans="2:15" outlineLevel="1" x14ac:dyDescent="0.3">
      <c r="B143" s="79" t="s">
        <v>236</v>
      </c>
      <c r="G143" s="169">
        <f>YEARFRAC(O134, O133)</f>
        <v>0.25</v>
      </c>
      <c r="J143" s="154">
        <f>SUM(J141:J142)</f>
        <v>0</v>
      </c>
      <c r="K143" s="154">
        <f>SUM(K141:K142)</f>
        <v>12764.512865090415</v>
      </c>
      <c r="L143" s="154">
        <f t="shared" ref="L143:N143" si="74">SUM(L141:L142)</f>
        <v>18157.709246805589</v>
      </c>
      <c r="M143" s="154">
        <f t="shared" si="74"/>
        <v>19091.239767683677</v>
      </c>
      <c r="N143" s="154">
        <f t="shared" si="74"/>
        <v>20262.172323124047</v>
      </c>
      <c r="O143" s="154">
        <f>D153*O137</f>
        <v>720464.22709989257</v>
      </c>
    </row>
    <row r="144" spans="2:15" outlineLevel="1" x14ac:dyDescent="0.3"/>
    <row r="145" spans="2:15" outlineLevel="1" x14ac:dyDescent="0.3">
      <c r="B145" s="39" t="s">
        <v>266</v>
      </c>
    </row>
    <row r="146" spans="2:15" outlineLevel="1" x14ac:dyDescent="0.3">
      <c r="B146" s="40" t="s">
        <v>267</v>
      </c>
      <c r="J146" s="182">
        <v>0</v>
      </c>
      <c r="K146" s="54">
        <f>YEARFRAC(K133, J133)</f>
        <v>0.25</v>
      </c>
      <c r="L146" s="54">
        <f t="shared" ref="L146:O146" si="75">YEARFRAC(L133, K133)</f>
        <v>1</v>
      </c>
      <c r="M146" s="54">
        <f t="shared" si="75"/>
        <v>1</v>
      </c>
      <c r="N146" s="54">
        <f t="shared" si="75"/>
        <v>1</v>
      </c>
      <c r="O146" s="55">
        <f t="shared" si="75"/>
        <v>1</v>
      </c>
    </row>
    <row r="147" spans="2:15" outlineLevel="1" x14ac:dyDescent="0.3">
      <c r="B147" s="40" t="s">
        <v>234</v>
      </c>
      <c r="J147" s="67">
        <v>0</v>
      </c>
      <c r="K147" s="67">
        <f>K141 * K$146</f>
        <v>3191.1282162726038</v>
      </c>
      <c r="L147" s="67">
        <f t="shared" ref="L147:O147" si="76">L141 * L$146</f>
        <v>18157.709246805589</v>
      </c>
      <c r="M147" s="67">
        <f t="shared" si="76"/>
        <v>19091.239767683677</v>
      </c>
      <c r="N147" s="67">
        <f t="shared" si="76"/>
        <v>20262.172323124047</v>
      </c>
      <c r="O147" s="67">
        <f t="shared" si="76"/>
        <v>21321.847472323389</v>
      </c>
    </row>
    <row r="148" spans="2:15" outlineLevel="1" x14ac:dyDescent="0.3">
      <c r="B148" s="40" t="s">
        <v>235</v>
      </c>
      <c r="J148" s="67">
        <v>0</v>
      </c>
      <c r="K148" s="67">
        <f t="shared" ref="K148:O148" si="77">K142 * K$146</f>
        <v>0</v>
      </c>
      <c r="L148" s="67">
        <f t="shared" si="77"/>
        <v>0</v>
      </c>
      <c r="M148" s="67">
        <f t="shared" si="77"/>
        <v>0</v>
      </c>
      <c r="N148" s="67">
        <f t="shared" si="77"/>
        <v>0</v>
      </c>
      <c r="O148" s="67">
        <f t="shared" si="77"/>
        <v>700979.43649248767</v>
      </c>
    </row>
    <row r="149" spans="2:15" outlineLevel="1" x14ac:dyDescent="0.3">
      <c r="B149" s="79" t="s">
        <v>236</v>
      </c>
      <c r="J149" s="154">
        <v>0</v>
      </c>
      <c r="K149" s="154">
        <f>SUM(K147:K148)</f>
        <v>3191.1282162726038</v>
      </c>
      <c r="L149" s="154">
        <f t="shared" ref="L149:O149" si="78">SUM(L147:L148)</f>
        <v>18157.709246805589</v>
      </c>
      <c r="M149" s="154">
        <f t="shared" si="78"/>
        <v>19091.239767683677</v>
      </c>
      <c r="N149" s="154">
        <f t="shared" si="78"/>
        <v>20262.172323124047</v>
      </c>
      <c r="O149" s="154">
        <f t="shared" si="78"/>
        <v>722301.28396481101</v>
      </c>
    </row>
    <row r="150" spans="2:15" outlineLevel="1" x14ac:dyDescent="0.3">
      <c r="J150" s="67"/>
      <c r="K150" s="67"/>
      <c r="L150" s="67"/>
      <c r="M150" s="67"/>
      <c r="N150" s="67"/>
      <c r="O150" s="67"/>
    </row>
    <row r="151" spans="2:15" outlineLevel="1" x14ac:dyDescent="0.3"/>
    <row r="152" spans="2:15" outlineLevel="1" x14ac:dyDescent="0.3">
      <c r="B152" s="39" t="s">
        <v>146</v>
      </c>
      <c r="G152" s="39" t="s">
        <v>244</v>
      </c>
      <c r="L152" s="39" t="s">
        <v>251</v>
      </c>
    </row>
    <row r="153" spans="2:15" outlineLevel="1" x14ac:dyDescent="0.3">
      <c r="B153" s="217" t="s">
        <v>237</v>
      </c>
      <c r="C153" s="126"/>
      <c r="D153" s="218">
        <f>Inputs!E94</f>
        <v>20</v>
      </c>
      <c r="G153" s="125" t="s">
        <v>245</v>
      </c>
      <c r="H153" s="126"/>
      <c r="I153" s="126"/>
      <c r="J153" s="155">
        <f>XNPV(D154,J147:O147,J134:O134)</f>
        <v>63117.212861809654</v>
      </c>
      <c r="L153" s="125" t="s">
        <v>252</v>
      </c>
      <c r="M153" s="126"/>
      <c r="N153" s="126"/>
      <c r="O153" s="155">
        <f>J162</f>
        <v>518685.4838899395</v>
      </c>
    </row>
    <row r="154" spans="2:15" outlineLevel="1" x14ac:dyDescent="0.3">
      <c r="B154" s="219" t="s">
        <v>238</v>
      </c>
      <c r="C154" s="128"/>
      <c r="D154" s="220">
        <f>Inputs!N88</f>
        <v>0.11590847408237007</v>
      </c>
      <c r="G154" s="160" t="s">
        <v>246</v>
      </c>
      <c r="J154" s="161">
        <f>XNPV(D154, J148:O148, J134:O134)</f>
        <v>451918.88102812984</v>
      </c>
      <c r="L154" s="160" t="s">
        <v>253</v>
      </c>
      <c r="O154" s="161">
        <f>Inputs!E97</f>
        <v>1252.9000000000001</v>
      </c>
    </row>
    <row r="155" spans="2:15" outlineLevel="1" x14ac:dyDescent="0.3">
      <c r="G155" s="127" t="s">
        <v>244</v>
      </c>
      <c r="H155" s="128"/>
      <c r="I155" s="128"/>
      <c r="J155" s="162">
        <f>SUM(J153:J154)</f>
        <v>515036.09388993948</v>
      </c>
      <c r="L155" s="127" t="s">
        <v>251</v>
      </c>
      <c r="M155" s="128"/>
      <c r="N155" s="163" t="s">
        <v>256</v>
      </c>
      <c r="O155" s="162">
        <f>O153/O154</f>
        <v>413.98793510251375</v>
      </c>
    </row>
    <row r="156" spans="2:15" outlineLevel="1" x14ac:dyDescent="0.3">
      <c r="J156" s="67"/>
    </row>
    <row r="157" spans="2:15" outlineLevel="1" x14ac:dyDescent="0.3"/>
    <row r="158" spans="2:15" outlineLevel="1" x14ac:dyDescent="0.3"/>
    <row r="159" spans="2:15" outlineLevel="1" x14ac:dyDescent="0.3">
      <c r="G159" s="39" t="s">
        <v>247</v>
      </c>
    </row>
    <row r="160" spans="2:15" outlineLevel="1" x14ac:dyDescent="0.3">
      <c r="G160" s="125" t="s">
        <v>244</v>
      </c>
      <c r="H160" s="126"/>
      <c r="I160" s="126"/>
      <c r="J160" s="155">
        <f>J155</f>
        <v>515036.09388993948</v>
      </c>
    </row>
    <row r="161" spans="2:10" outlineLevel="1" x14ac:dyDescent="0.3">
      <c r="G161" s="160" t="s">
        <v>249</v>
      </c>
      <c r="J161" s="165">
        <f>Inputs!E95</f>
        <v>-3649.3900000000003</v>
      </c>
    </row>
    <row r="162" spans="2:10" outlineLevel="1" x14ac:dyDescent="0.3">
      <c r="G162" s="127" t="s">
        <v>247</v>
      </c>
      <c r="H162" s="128"/>
      <c r="I162" s="128"/>
      <c r="J162" s="162">
        <f>J160-J161</f>
        <v>518685.4838899395</v>
      </c>
    </row>
    <row r="163" spans="2:10" outlineLevel="1" x14ac:dyDescent="0.3"/>
    <row r="164" spans="2:10" outlineLevel="1" x14ac:dyDescent="0.3"/>
    <row r="165" spans="2:10" outlineLevel="1" x14ac:dyDescent="0.3">
      <c r="B165" s="18" t="s">
        <v>250</v>
      </c>
    </row>
    <row r="175" spans="2:10" x14ac:dyDescent="0.3">
      <c r="C175" s="164"/>
      <c r="D175" s="164"/>
      <c r="E175" s="164"/>
      <c r="F175" s="164"/>
      <c r="G175" s="164"/>
      <c r="H175" s="164"/>
      <c r="I175" s="164"/>
      <c r="J175" s="164"/>
    </row>
    <row r="176" spans="2:10" x14ac:dyDescent="0.3">
      <c r="C176" s="164"/>
      <c r="D176" s="164"/>
      <c r="E176" s="164"/>
      <c r="F176" s="164"/>
      <c r="G176" s="164"/>
      <c r="H176" s="164"/>
      <c r="I176" s="164"/>
      <c r="J176" s="164"/>
    </row>
    <row r="177" spans="3:10" x14ac:dyDescent="0.3">
      <c r="C177" s="164"/>
      <c r="D177" s="216">
        <f>J155</f>
        <v>515036.09388993948</v>
      </c>
      <c r="E177" s="164">
        <v>18</v>
      </c>
      <c r="F177" s="164">
        <v>19</v>
      </c>
      <c r="G177" s="164">
        <v>20</v>
      </c>
      <c r="H177" s="164">
        <v>21</v>
      </c>
      <c r="I177" s="164">
        <v>22</v>
      </c>
      <c r="J177" s="164"/>
    </row>
    <row r="178" spans="3:10" x14ac:dyDescent="0.3">
      <c r="C178" s="164"/>
      <c r="D178" s="164">
        <v>9.5908474082370077E-2</v>
      </c>
      <c r="E178" s="164">
        <f t="dataTable" ref="E178:I182" dt2D="1" dtr="1" r1="D153" r2="D154"/>
        <v>505067.74073368846</v>
      </c>
      <c r="F178" s="164">
        <v>529470.15208796726</v>
      </c>
      <c r="G178" s="164">
        <v>553872.56344224606</v>
      </c>
      <c r="H178" s="164">
        <v>578274.97479652474</v>
      </c>
      <c r="I178" s="164">
        <v>602677.38615080353</v>
      </c>
      <c r="J178" s="164"/>
    </row>
    <row r="179" spans="3:10" x14ac:dyDescent="0.3">
      <c r="C179" s="164"/>
      <c r="D179" s="164">
        <v>0.10590847408237007</v>
      </c>
      <c r="E179" s="164">
        <v>487045.71638780081</v>
      </c>
      <c r="F179" s="164">
        <v>510523.44659300498</v>
      </c>
      <c r="G179" s="164">
        <v>534001.17679820908</v>
      </c>
      <c r="H179" s="164">
        <v>557478.9070034133</v>
      </c>
      <c r="I179" s="164">
        <v>580956.63720861741</v>
      </c>
      <c r="J179" s="164"/>
    </row>
    <row r="180" spans="3:10" x14ac:dyDescent="0.3">
      <c r="C180" s="164"/>
      <c r="D180" s="164">
        <v>0.11590847408237007</v>
      </c>
      <c r="E180" s="164">
        <v>469844.20578712656</v>
      </c>
      <c r="F180" s="164">
        <v>492440.14983853308</v>
      </c>
      <c r="G180" s="164">
        <v>515036.09388993948</v>
      </c>
      <c r="H180" s="164">
        <v>537632.03794134606</v>
      </c>
      <c r="I180" s="164">
        <v>560227.98199275252</v>
      </c>
      <c r="J180" s="164"/>
    </row>
    <row r="181" spans="3:10" x14ac:dyDescent="0.3">
      <c r="C181" s="164"/>
      <c r="D181" s="164">
        <v>0.12590847408237008</v>
      </c>
      <c r="E181" s="164">
        <v>453418.72841064964</v>
      </c>
      <c r="F181" s="164">
        <v>475173.43341155502</v>
      </c>
      <c r="G181" s="164">
        <v>496928.13841246039</v>
      </c>
      <c r="H181" s="164">
        <v>518682.84341336577</v>
      </c>
      <c r="I181" s="164">
        <v>540437.54841427109</v>
      </c>
      <c r="J181" s="164"/>
    </row>
    <row r="182" spans="3:10" x14ac:dyDescent="0.3">
      <c r="C182" s="164"/>
      <c r="D182" s="164">
        <v>0.13590847408237008</v>
      </c>
      <c r="E182" s="164">
        <v>437727.58664047217</v>
      </c>
      <c r="F182" s="164">
        <v>458679.39957252773</v>
      </c>
      <c r="G182" s="164">
        <v>479631.21250458318</v>
      </c>
      <c r="H182" s="164">
        <v>500583.02543663874</v>
      </c>
      <c r="I182" s="164">
        <v>521534.8383686943</v>
      </c>
      <c r="J182" s="164"/>
    </row>
    <row r="183" spans="3:10" x14ac:dyDescent="0.3">
      <c r="C183" s="164"/>
      <c r="D183" s="164"/>
      <c r="E183" s="164"/>
      <c r="F183" s="164"/>
      <c r="G183" s="164"/>
      <c r="H183" s="164"/>
      <c r="I183" s="164"/>
      <c r="J183" s="164"/>
    </row>
  </sheetData>
  <sheetProtection algorithmName="SHA-512" hashValue="/v9sSNBWdRBX4H/ii8pkyZ7DYxK87IeQBFz+M8/2jmflasyr1Dm5Nfi9khGTMBr+bF2wnh3Dcj+BULUd7n9Xrw==" saltValue="bc/AMQRogZvaoCyOSxBpzg==" spinCount="100000"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E9D1-001B-4F40-88D0-4EA1A2335B12}">
  <dimension ref="A1:F54"/>
  <sheetViews>
    <sheetView workbookViewId="0">
      <selection activeCell="F17" sqref="F17"/>
    </sheetView>
  </sheetViews>
  <sheetFormatPr defaultRowHeight="14.4" x14ac:dyDescent="0.3"/>
  <cols>
    <col min="1" max="1" width="48.5" bestFit="1" customWidth="1"/>
  </cols>
  <sheetData>
    <row r="1" spans="1:6" x14ac:dyDescent="0.3">
      <c r="B1" s="2">
        <v>45016</v>
      </c>
      <c r="C1" s="2">
        <v>45382</v>
      </c>
      <c r="D1" s="2">
        <v>45747</v>
      </c>
    </row>
    <row r="2" spans="1:6" x14ac:dyDescent="0.3">
      <c r="A2" t="s">
        <v>1</v>
      </c>
      <c r="B2">
        <v>70245.22</v>
      </c>
      <c r="C2">
        <v>67391.039999999994</v>
      </c>
      <c r="D2">
        <v>74653.320000000007</v>
      </c>
      <c r="F2">
        <v>10000000</v>
      </c>
    </row>
    <row r="3" spans="1:6" x14ac:dyDescent="0.3">
      <c r="A3" t="s">
        <v>0</v>
      </c>
      <c r="B3">
        <v>70245.22</v>
      </c>
      <c r="C3">
        <v>67391.039999999994</v>
      </c>
      <c r="D3">
        <v>74653.320000000007</v>
      </c>
    </row>
    <row r="4" spans="1:6" x14ac:dyDescent="0.3">
      <c r="A4" t="s">
        <v>133</v>
      </c>
      <c r="B4">
        <v>29460.52</v>
      </c>
      <c r="C4">
        <v>27345.84</v>
      </c>
      <c r="D4">
        <v>32376.1</v>
      </c>
    </row>
    <row r="5" spans="1:6" x14ac:dyDescent="0.3">
      <c r="A5" t="s">
        <v>2</v>
      </c>
      <c r="B5">
        <v>40784.699999999997</v>
      </c>
      <c r="C5">
        <v>40045.199999999997</v>
      </c>
      <c r="D5">
        <v>42277.22</v>
      </c>
    </row>
    <row r="6" spans="1:6" x14ac:dyDescent="0.3">
      <c r="A6" t="s">
        <v>132</v>
      </c>
      <c r="B6">
        <v>266.45999999999998</v>
      </c>
      <c r="C6">
        <v>274.3</v>
      </c>
      <c r="D6">
        <v>307.2</v>
      </c>
    </row>
    <row r="7" spans="1:6" x14ac:dyDescent="0.3">
      <c r="A7" t="s">
        <v>131</v>
      </c>
      <c r="B7">
        <v>874.04</v>
      </c>
      <c r="C7">
        <v>858.91</v>
      </c>
      <c r="D7">
        <v>912.36</v>
      </c>
    </row>
    <row r="8" spans="1:6" x14ac:dyDescent="0.3">
      <c r="A8" t="s">
        <v>130</v>
      </c>
      <c r="B8">
        <v>1271.01</v>
      </c>
      <c r="C8">
        <v>3038.93</v>
      </c>
      <c r="D8">
        <v>3316.94</v>
      </c>
    </row>
    <row r="9" spans="1:6" x14ac:dyDescent="0.3">
      <c r="A9" t="s">
        <v>129</v>
      </c>
      <c r="B9">
        <v>2145.0500000000002</v>
      </c>
      <c r="C9">
        <v>3897.84</v>
      </c>
      <c r="D9">
        <v>4229.3</v>
      </c>
    </row>
    <row r="10" spans="1:6" x14ac:dyDescent="0.3">
      <c r="A10" t="s">
        <v>128</v>
      </c>
      <c r="B10">
        <v>204.72</v>
      </c>
      <c r="C10">
        <v>242.15</v>
      </c>
      <c r="D10">
        <v>0</v>
      </c>
    </row>
    <row r="11" spans="1:6" x14ac:dyDescent="0.3">
      <c r="A11" t="s">
        <v>127</v>
      </c>
      <c r="B11">
        <v>1809.01</v>
      </c>
      <c r="C11">
        <v>1518.05</v>
      </c>
      <c r="D11">
        <v>1646.32</v>
      </c>
    </row>
    <row r="12" spans="1:6" x14ac:dyDescent="0.3">
      <c r="A12" t="s">
        <v>126</v>
      </c>
      <c r="B12">
        <v>1809.01</v>
      </c>
      <c r="C12">
        <v>1518.05</v>
      </c>
      <c r="D12">
        <v>1646.32</v>
      </c>
    </row>
    <row r="13" spans="1:6" x14ac:dyDescent="0.3">
      <c r="A13" t="s">
        <v>4</v>
      </c>
      <c r="B13">
        <v>7418.17</v>
      </c>
      <c r="C13">
        <v>5677.9</v>
      </c>
      <c r="D13">
        <v>6401.51</v>
      </c>
    </row>
    <row r="14" spans="1:6" x14ac:dyDescent="0.3">
      <c r="A14" t="s">
        <v>3</v>
      </c>
      <c r="B14">
        <v>16888</v>
      </c>
      <c r="C14">
        <v>16375.72</v>
      </c>
      <c r="D14">
        <v>18084.09</v>
      </c>
    </row>
    <row r="15" spans="1:6" x14ac:dyDescent="0.3">
      <c r="A15" t="s">
        <v>5</v>
      </c>
      <c r="B15">
        <v>23896.7</v>
      </c>
      <c r="C15">
        <v>23669.48</v>
      </c>
      <c r="D15">
        <v>24193.13</v>
      </c>
    </row>
    <row r="16" spans="1:6" x14ac:dyDescent="0.3">
      <c r="A16" t="s">
        <v>7</v>
      </c>
      <c r="B16">
        <v>1534</v>
      </c>
      <c r="C16">
        <v>1696.75</v>
      </c>
      <c r="D16">
        <v>1488.76</v>
      </c>
    </row>
    <row r="17" spans="1:4" x14ac:dyDescent="0.3">
      <c r="A17" t="s">
        <v>8</v>
      </c>
      <c r="B17">
        <v>43.2</v>
      </c>
      <c r="C17">
        <v>39.11</v>
      </c>
      <c r="D17">
        <v>45.06</v>
      </c>
    </row>
    <row r="18" spans="1:4" x14ac:dyDescent="0.3">
      <c r="A18" t="s">
        <v>9</v>
      </c>
      <c r="B18">
        <v>34.57</v>
      </c>
      <c r="C18">
        <v>34.1</v>
      </c>
      <c r="D18">
        <v>0</v>
      </c>
    </row>
    <row r="19" spans="1:4" x14ac:dyDescent="0.3">
      <c r="A19" t="s">
        <v>6</v>
      </c>
      <c r="B19">
        <v>1456.23</v>
      </c>
      <c r="C19">
        <v>1657.64</v>
      </c>
      <c r="D19">
        <v>1443.7</v>
      </c>
    </row>
    <row r="20" spans="1:4" x14ac:dyDescent="0.3">
      <c r="A20" t="s">
        <v>125</v>
      </c>
      <c r="B20">
        <v>1.42</v>
      </c>
      <c r="C20">
        <v>0.06</v>
      </c>
      <c r="D20">
        <v>7.87</v>
      </c>
    </row>
    <row r="21" spans="1:4" x14ac:dyDescent="0.3">
      <c r="A21" t="s">
        <v>124</v>
      </c>
      <c r="B21">
        <v>-66.66</v>
      </c>
      <c r="C21">
        <v>-72.099999999999994</v>
      </c>
      <c r="D21">
        <v>-138.76</v>
      </c>
    </row>
    <row r="22" spans="1:4" x14ac:dyDescent="0.3">
      <c r="A22" t="s">
        <v>123</v>
      </c>
      <c r="B22">
        <v>65.239999999999995</v>
      </c>
      <c r="C22">
        <v>72.040000000000006</v>
      </c>
      <c r="D22">
        <v>130.88999999999999</v>
      </c>
    </row>
    <row r="23" spans="1:4" x14ac:dyDescent="0.3">
      <c r="A23" t="s">
        <v>122</v>
      </c>
      <c r="B23">
        <v>153.13</v>
      </c>
      <c r="C23">
        <v>148.06</v>
      </c>
      <c r="D23">
        <v>151.21</v>
      </c>
    </row>
    <row r="24" spans="1:4" x14ac:dyDescent="0.3">
      <c r="A24" t="s">
        <v>10</v>
      </c>
      <c r="B24">
        <v>25915.119999999999</v>
      </c>
      <c r="C24">
        <v>26400.28</v>
      </c>
      <c r="D24">
        <v>26926.94</v>
      </c>
    </row>
    <row r="25" spans="1:4" x14ac:dyDescent="0.3">
      <c r="A25" t="s">
        <v>11</v>
      </c>
      <c r="B25">
        <v>6438.4</v>
      </c>
      <c r="C25">
        <v>6209.46</v>
      </c>
      <c r="D25">
        <v>6890.47</v>
      </c>
    </row>
    <row r="26" spans="1:4" x14ac:dyDescent="0.3">
      <c r="A26" t="s">
        <v>121</v>
      </c>
      <c r="B26">
        <v>19476.72</v>
      </c>
      <c r="C26">
        <v>20190.82</v>
      </c>
      <c r="D26">
        <v>20036.47</v>
      </c>
    </row>
    <row r="27" spans="1:4" x14ac:dyDescent="0.3">
      <c r="A27" t="s">
        <v>120</v>
      </c>
      <c r="B27">
        <v>0</v>
      </c>
      <c r="C27">
        <v>560.54</v>
      </c>
      <c r="D27">
        <v>15016.01</v>
      </c>
    </row>
    <row r="28" spans="1:4" x14ac:dyDescent="0.3">
      <c r="A28" t="s">
        <v>119</v>
      </c>
      <c r="B28">
        <v>19476.72</v>
      </c>
      <c r="C28">
        <v>20751.36</v>
      </c>
      <c r="D28">
        <v>35052.480000000003</v>
      </c>
    </row>
    <row r="29" spans="1:4" x14ac:dyDescent="0.3">
      <c r="A29" t="s">
        <v>118</v>
      </c>
      <c r="B29">
        <v>-285.06</v>
      </c>
      <c r="C29">
        <v>-292.58</v>
      </c>
      <c r="D29">
        <v>-305.85000000000002</v>
      </c>
    </row>
    <row r="30" spans="1:4" x14ac:dyDescent="0.3">
      <c r="A30" t="s">
        <v>13</v>
      </c>
      <c r="B30">
        <v>19191.66</v>
      </c>
      <c r="C30">
        <v>20458.78</v>
      </c>
      <c r="D30">
        <v>34746.629999999997</v>
      </c>
    </row>
    <row r="31" spans="1:4" x14ac:dyDescent="0.3">
      <c r="A31" t="s">
        <v>117</v>
      </c>
      <c r="B31">
        <v>0</v>
      </c>
      <c r="C31">
        <v>0</v>
      </c>
      <c r="D31">
        <v>0</v>
      </c>
    </row>
    <row r="32" spans="1:4" x14ac:dyDescent="0.3">
      <c r="A32" t="s">
        <v>12</v>
      </c>
      <c r="B32">
        <v>19191.66</v>
      </c>
      <c r="C32">
        <v>20458.78</v>
      </c>
      <c r="D32">
        <v>34746.629999999997</v>
      </c>
    </row>
    <row r="33" spans="1:4" x14ac:dyDescent="0.3">
      <c r="A33" t="s">
        <v>116</v>
      </c>
      <c r="B33">
        <v>19191.66</v>
      </c>
      <c r="C33">
        <v>20458.78</v>
      </c>
      <c r="D33">
        <v>34746.629999999997</v>
      </c>
    </row>
    <row r="34" spans="1:4" x14ac:dyDescent="0.3">
      <c r="A34" t="s">
        <v>115</v>
      </c>
      <c r="B34">
        <v>1.55E-6</v>
      </c>
      <c r="C34">
        <v>1.6420000000000001E-6</v>
      </c>
      <c r="D34">
        <v>2.779E-6</v>
      </c>
    </row>
    <row r="35" spans="1:4" x14ac:dyDescent="0.3">
      <c r="A35" t="s">
        <v>114</v>
      </c>
      <c r="B35">
        <v>1.5460000000000001E-6</v>
      </c>
      <c r="C35">
        <v>1.6379999999999998E-6</v>
      </c>
      <c r="D35">
        <v>2.7750000000000001E-6</v>
      </c>
    </row>
    <row r="36" spans="1:4" x14ac:dyDescent="0.3">
      <c r="A36" t="s">
        <v>113</v>
      </c>
      <c r="B36">
        <v>1238.1512709000001</v>
      </c>
      <c r="C36">
        <v>1246.1058425000001</v>
      </c>
      <c r="D36">
        <v>1250.2378226000001</v>
      </c>
    </row>
    <row r="37" spans="1:4" x14ac:dyDescent="0.3">
      <c r="A37" t="s">
        <v>112</v>
      </c>
      <c r="B37">
        <v>1241.4327109000001</v>
      </c>
      <c r="C37">
        <v>1248.9150655999999</v>
      </c>
      <c r="D37">
        <v>1252.1042519</v>
      </c>
    </row>
    <row r="38" spans="1:4" x14ac:dyDescent="0.3">
      <c r="A38" t="s">
        <v>111</v>
      </c>
      <c r="B38">
        <v>266.45999999999998</v>
      </c>
      <c r="C38">
        <v>274.3</v>
      </c>
      <c r="D38">
        <v>307.2</v>
      </c>
    </row>
    <row r="39" spans="1:4" x14ac:dyDescent="0.3">
      <c r="A39" t="s">
        <v>110</v>
      </c>
      <c r="B39">
        <v>46348.52</v>
      </c>
      <c r="C39">
        <v>43721.56</v>
      </c>
      <c r="D39">
        <v>50460.19</v>
      </c>
    </row>
    <row r="40" spans="1:4" x14ac:dyDescent="0.3">
      <c r="A40" t="s">
        <v>109</v>
      </c>
      <c r="B40">
        <v>19191.66</v>
      </c>
      <c r="C40">
        <v>20458.78</v>
      </c>
      <c r="D40">
        <v>34746.629999999997</v>
      </c>
    </row>
    <row r="41" spans="1:4" x14ac:dyDescent="0.3">
      <c r="A41" t="s">
        <v>108</v>
      </c>
      <c r="B41">
        <v>18948.906713115703</v>
      </c>
      <c r="C41">
        <v>19209.442069955301</v>
      </c>
      <c r="D41">
        <v>18968.3216589519</v>
      </c>
    </row>
    <row r="42" spans="1:4" x14ac:dyDescent="0.3">
      <c r="A42" t="s">
        <v>107</v>
      </c>
      <c r="B42">
        <v>1534</v>
      </c>
      <c r="C42">
        <v>1696.75</v>
      </c>
      <c r="D42">
        <v>1488.76</v>
      </c>
    </row>
    <row r="43" spans="1:4" x14ac:dyDescent="0.3">
      <c r="A43" t="s">
        <v>106</v>
      </c>
      <c r="B43">
        <v>43.2</v>
      </c>
      <c r="C43">
        <v>39.11</v>
      </c>
      <c r="D43">
        <v>45.06</v>
      </c>
    </row>
    <row r="44" spans="1:4" x14ac:dyDescent="0.3">
      <c r="A44" t="s">
        <v>105</v>
      </c>
      <c r="B44">
        <v>1456.23</v>
      </c>
      <c r="C44">
        <v>1657.64</v>
      </c>
      <c r="D44">
        <v>1443.7</v>
      </c>
    </row>
    <row r="45" spans="1:4" x14ac:dyDescent="0.3">
      <c r="A45" t="s">
        <v>104</v>
      </c>
      <c r="B45">
        <v>25958.32</v>
      </c>
      <c r="C45">
        <v>26439.39</v>
      </c>
      <c r="D45">
        <v>26972</v>
      </c>
    </row>
    <row r="46" spans="1:4" x14ac:dyDescent="0.3">
      <c r="A46" t="s">
        <v>103</v>
      </c>
      <c r="B46">
        <v>27767.33</v>
      </c>
      <c r="C46">
        <v>28255.78</v>
      </c>
      <c r="D46">
        <v>28922.58</v>
      </c>
    </row>
    <row r="47" spans="1:4" x14ac:dyDescent="0.3">
      <c r="A47" t="s">
        <v>102</v>
      </c>
      <c r="B47">
        <v>29460.52</v>
      </c>
      <c r="C47">
        <v>27345.84</v>
      </c>
      <c r="D47">
        <v>32376.1</v>
      </c>
    </row>
    <row r="48" spans="1:4" x14ac:dyDescent="0.3">
      <c r="A48" t="s">
        <v>101</v>
      </c>
      <c r="B48">
        <v>1809.01</v>
      </c>
      <c r="C48">
        <v>1816.39</v>
      </c>
      <c r="D48">
        <v>1950.58</v>
      </c>
    </row>
    <row r="49" spans="1:4" x14ac:dyDescent="0.3">
      <c r="A49" t="s">
        <v>100</v>
      </c>
      <c r="B49">
        <v>19191.66</v>
      </c>
      <c r="C49">
        <v>19898.240000000002</v>
      </c>
      <c r="D49">
        <v>19730.62</v>
      </c>
    </row>
    <row r="50" spans="1:4" x14ac:dyDescent="0.3">
      <c r="A50" t="s">
        <v>99</v>
      </c>
      <c r="B50">
        <v>323</v>
      </c>
      <c r="C50">
        <v>900.63</v>
      </c>
      <c r="D50">
        <v>1024.45</v>
      </c>
    </row>
    <row r="51" spans="1:4" x14ac:dyDescent="0.3">
      <c r="A51" t="s">
        <v>98</v>
      </c>
      <c r="B51">
        <v>323</v>
      </c>
      <c r="C51">
        <v>900.63</v>
      </c>
      <c r="D51">
        <v>1024.45</v>
      </c>
    </row>
    <row r="52" spans="1:4" x14ac:dyDescent="0.3">
      <c r="A52" t="s">
        <v>97</v>
      </c>
      <c r="B52">
        <v>27444.33</v>
      </c>
      <c r="C52">
        <v>27355.15</v>
      </c>
      <c r="D52">
        <v>27898.13</v>
      </c>
    </row>
    <row r="53" spans="1:4" x14ac:dyDescent="0.3">
      <c r="A53" t="s">
        <v>96</v>
      </c>
      <c r="B53">
        <v>2.4844199999999998E-8</v>
      </c>
      <c r="C53">
        <v>2.35204E-8</v>
      </c>
      <c r="D53">
        <v>2.5589499999999999E-8</v>
      </c>
    </row>
    <row r="54" spans="1:4" x14ac:dyDescent="0.3">
      <c r="A54" t="s">
        <v>95</v>
      </c>
      <c r="B54">
        <v>80.246713115740889</v>
      </c>
      <c r="C54">
        <v>211.83206995531799</v>
      </c>
      <c r="D54">
        <v>262.15165895196401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6E67-43EA-4EF6-94D7-FA15ADAF6511}">
  <dimension ref="A1:H82"/>
  <sheetViews>
    <sheetView workbookViewId="0">
      <selection activeCell="I8" sqref="I8"/>
    </sheetView>
  </sheetViews>
  <sheetFormatPr defaultRowHeight="14.4" x14ac:dyDescent="0.3"/>
  <cols>
    <col min="1" max="1" width="55.5" bestFit="1" customWidth="1"/>
  </cols>
  <sheetData>
    <row r="1" spans="1:7" x14ac:dyDescent="0.3">
      <c r="B1" s="2">
        <v>44651</v>
      </c>
      <c r="C1" s="2">
        <v>45016</v>
      </c>
      <c r="D1" s="2">
        <v>45382</v>
      </c>
      <c r="E1" s="2">
        <v>45747</v>
      </c>
    </row>
    <row r="2" spans="1:7" x14ac:dyDescent="0.3">
      <c r="A2" t="s">
        <v>94</v>
      </c>
      <c r="B2">
        <v>268.25</v>
      </c>
      <c r="C2">
        <v>458.27</v>
      </c>
      <c r="D2">
        <v>487.23</v>
      </c>
      <c r="E2">
        <v>417.4</v>
      </c>
      <c r="G2">
        <v>10000000</v>
      </c>
    </row>
    <row r="3" spans="1:7" x14ac:dyDescent="0.3">
      <c r="A3" t="s">
        <v>93</v>
      </c>
      <c r="B3">
        <v>3.12</v>
      </c>
      <c r="C3">
        <v>5.08</v>
      </c>
      <c r="D3">
        <v>138.66</v>
      </c>
      <c r="E3">
        <v>202.6</v>
      </c>
    </row>
    <row r="4" spans="1:7" x14ac:dyDescent="0.3">
      <c r="A4" t="s">
        <v>92</v>
      </c>
      <c r="B4">
        <v>271.37</v>
      </c>
      <c r="C4">
        <v>463.35</v>
      </c>
      <c r="D4">
        <v>625.89</v>
      </c>
      <c r="E4">
        <v>620</v>
      </c>
    </row>
    <row r="5" spans="1:7" x14ac:dyDescent="0.3">
      <c r="A5" t="s">
        <v>91</v>
      </c>
      <c r="B5">
        <v>16422.84</v>
      </c>
      <c r="C5">
        <v>21410.27</v>
      </c>
      <c r="D5">
        <v>19267.27</v>
      </c>
      <c r="E5">
        <v>19415.02</v>
      </c>
    </row>
    <row r="6" spans="1:7" x14ac:dyDescent="0.3">
      <c r="A6" t="s">
        <v>90</v>
      </c>
      <c r="B6">
        <v>16694.21</v>
      </c>
      <c r="C6">
        <v>21873.62</v>
      </c>
      <c r="D6">
        <v>19893.16</v>
      </c>
      <c r="E6">
        <v>20035.02</v>
      </c>
    </row>
    <row r="7" spans="1:7" x14ac:dyDescent="0.3">
      <c r="A7" t="s">
        <v>89</v>
      </c>
      <c r="B7">
        <v>2658.77</v>
      </c>
      <c r="C7">
        <v>3153.72</v>
      </c>
      <c r="D7">
        <v>4213.95</v>
      </c>
      <c r="E7">
        <v>4895.8</v>
      </c>
    </row>
    <row r="8" spans="1:7" x14ac:dyDescent="0.3">
      <c r="A8" t="s">
        <v>88</v>
      </c>
      <c r="B8">
        <v>-196.87</v>
      </c>
      <c r="C8">
        <v>-197.55</v>
      </c>
      <c r="D8">
        <v>-188.13</v>
      </c>
      <c r="E8">
        <v>-176.13</v>
      </c>
    </row>
    <row r="9" spans="1:7" x14ac:dyDescent="0.3">
      <c r="A9" t="s">
        <v>87</v>
      </c>
      <c r="B9">
        <v>2461.9</v>
      </c>
      <c r="C9">
        <v>2956.17</v>
      </c>
      <c r="D9">
        <v>4025.82</v>
      </c>
      <c r="E9">
        <v>4719.67</v>
      </c>
    </row>
    <row r="10" spans="1:7" x14ac:dyDescent="0.3">
      <c r="A10" t="s">
        <v>86</v>
      </c>
      <c r="B10">
        <v>1214.8599999999999</v>
      </c>
      <c r="C10">
        <v>1320.72</v>
      </c>
      <c r="D10">
        <v>1374.45</v>
      </c>
      <c r="E10">
        <v>1443.78</v>
      </c>
    </row>
    <row r="11" spans="1:7" x14ac:dyDescent="0.3">
      <c r="A11" t="s">
        <v>85</v>
      </c>
      <c r="B11">
        <v>7075.88</v>
      </c>
      <c r="C11">
        <v>7665.98</v>
      </c>
      <c r="D11">
        <v>9376.73</v>
      </c>
      <c r="E11">
        <v>11189.95</v>
      </c>
    </row>
    <row r="12" spans="1:7" x14ac:dyDescent="0.3">
      <c r="A12" t="s">
        <v>84</v>
      </c>
      <c r="B12">
        <v>732.41</v>
      </c>
      <c r="C12">
        <v>961.08</v>
      </c>
      <c r="D12">
        <v>1334.72</v>
      </c>
      <c r="E12">
        <v>414.6</v>
      </c>
    </row>
    <row r="13" spans="1:7" x14ac:dyDescent="0.3">
      <c r="A13" t="s">
        <v>83</v>
      </c>
      <c r="B13">
        <v>2975.97</v>
      </c>
      <c r="C13">
        <v>3029.01</v>
      </c>
      <c r="D13">
        <v>3345.7</v>
      </c>
      <c r="E13">
        <v>3928.69</v>
      </c>
    </row>
    <row r="14" spans="1:7" x14ac:dyDescent="0.3">
      <c r="A14" t="s">
        <v>82</v>
      </c>
      <c r="B14">
        <v>189.33</v>
      </c>
      <c r="C14">
        <v>258.06</v>
      </c>
      <c r="D14">
        <v>245.73</v>
      </c>
      <c r="E14">
        <v>302.89999999999998</v>
      </c>
    </row>
    <row r="15" spans="1:7" x14ac:dyDescent="0.3">
      <c r="A15" t="s">
        <v>81</v>
      </c>
      <c r="B15">
        <v>10973.59</v>
      </c>
      <c r="C15">
        <v>11914.13</v>
      </c>
      <c r="D15">
        <v>14302.88</v>
      </c>
      <c r="E15">
        <v>15836.14</v>
      </c>
    </row>
    <row r="16" spans="1:7" x14ac:dyDescent="0.3">
      <c r="A16" t="s">
        <v>80</v>
      </c>
      <c r="B16">
        <v>2663.4</v>
      </c>
      <c r="C16">
        <v>1366.82</v>
      </c>
      <c r="D16">
        <v>1200.29</v>
      </c>
      <c r="E16">
        <v>1593.83</v>
      </c>
    </row>
    <row r="17" spans="1:5" x14ac:dyDescent="0.3">
      <c r="A17" t="s">
        <v>79</v>
      </c>
      <c r="B17">
        <v>224.49</v>
      </c>
      <c r="C17">
        <v>239.43</v>
      </c>
      <c r="D17">
        <v>268.94</v>
      </c>
      <c r="E17">
        <v>264.83999999999997</v>
      </c>
    </row>
    <row r="18" spans="1:5" x14ac:dyDescent="0.3">
      <c r="A18" t="s">
        <v>78</v>
      </c>
      <c r="B18">
        <v>1306.08</v>
      </c>
      <c r="C18">
        <v>1561.75</v>
      </c>
      <c r="D18">
        <v>1383.19</v>
      </c>
      <c r="E18">
        <v>1371.85</v>
      </c>
    </row>
    <row r="19" spans="1:5" x14ac:dyDescent="0.3">
      <c r="A19" t="s">
        <v>77</v>
      </c>
      <c r="B19">
        <v>34232.449999999997</v>
      </c>
      <c r="C19">
        <v>39670.89</v>
      </c>
      <c r="D19">
        <v>41065.54</v>
      </c>
      <c r="E19">
        <v>43893.279999999999</v>
      </c>
    </row>
    <row r="20" spans="1:5" x14ac:dyDescent="0.3">
      <c r="A20" t="s">
        <v>76</v>
      </c>
      <c r="B20">
        <v>0</v>
      </c>
      <c r="C20">
        <v>0</v>
      </c>
      <c r="D20">
        <v>0</v>
      </c>
      <c r="E20">
        <v>0</v>
      </c>
    </row>
    <row r="21" spans="1:5" x14ac:dyDescent="0.3">
      <c r="A21" t="s">
        <v>75</v>
      </c>
      <c r="B21">
        <v>2829.14</v>
      </c>
      <c r="C21">
        <v>2829.51</v>
      </c>
      <c r="D21">
        <v>2865.42</v>
      </c>
      <c r="E21">
        <v>1587.61</v>
      </c>
    </row>
    <row r="22" spans="1:5" x14ac:dyDescent="0.3">
      <c r="A22" t="s">
        <v>74</v>
      </c>
      <c r="B22">
        <v>9099.75</v>
      </c>
      <c r="C22">
        <v>9789.4500000000007</v>
      </c>
      <c r="D22">
        <v>10943.51</v>
      </c>
      <c r="E22">
        <v>7550.17</v>
      </c>
    </row>
    <row r="23" spans="1:5" x14ac:dyDescent="0.3">
      <c r="A23" t="s">
        <v>73</v>
      </c>
      <c r="B23">
        <v>17995.18</v>
      </c>
      <c r="C23">
        <v>19665.560000000001</v>
      </c>
      <c r="D23">
        <v>21991.49</v>
      </c>
      <c r="E23">
        <v>19878.439999999999</v>
      </c>
    </row>
    <row r="24" spans="1:5" x14ac:dyDescent="0.3">
      <c r="A24" t="s">
        <v>72</v>
      </c>
      <c r="B24">
        <v>48.63</v>
      </c>
      <c r="C24">
        <v>48.63</v>
      </c>
      <c r="D24">
        <v>41.83</v>
      </c>
      <c r="E24">
        <v>31.97</v>
      </c>
    </row>
    <row r="25" spans="1:5" x14ac:dyDescent="0.3">
      <c r="A25" t="s">
        <v>71</v>
      </c>
      <c r="B25">
        <v>3402.07</v>
      </c>
      <c r="C25">
        <v>3209.27</v>
      </c>
      <c r="D25">
        <v>3143.31</v>
      </c>
      <c r="E25">
        <v>1161.0899999999999</v>
      </c>
    </row>
    <row r="26" spans="1:5" x14ac:dyDescent="0.3">
      <c r="A26" t="s">
        <v>70</v>
      </c>
      <c r="B26">
        <v>33374.769999999997</v>
      </c>
      <c r="C26">
        <v>35542.42</v>
      </c>
      <c r="D26">
        <v>38985.56</v>
      </c>
      <c r="E26">
        <v>30209.279999999999</v>
      </c>
    </row>
    <row r="27" spans="1:5" x14ac:dyDescent="0.3">
      <c r="A27" t="s">
        <v>69</v>
      </c>
      <c r="B27">
        <v>-8898.14</v>
      </c>
      <c r="C27">
        <v>-10341.19</v>
      </c>
      <c r="D27">
        <v>-11820.8</v>
      </c>
      <c r="E27">
        <v>-11037.41</v>
      </c>
    </row>
    <row r="28" spans="1:5" x14ac:dyDescent="0.3">
      <c r="A28" t="s">
        <v>68</v>
      </c>
      <c r="B28">
        <v>24476.63</v>
      </c>
      <c r="C28">
        <v>25201.23</v>
      </c>
      <c r="D28">
        <v>27164.76</v>
      </c>
      <c r="E28">
        <v>19171.87</v>
      </c>
    </row>
    <row r="29" spans="1:5" x14ac:dyDescent="0.3">
      <c r="A29" t="s">
        <v>67</v>
      </c>
      <c r="B29">
        <v>779.73</v>
      </c>
      <c r="C29">
        <v>779.73</v>
      </c>
      <c r="D29">
        <v>779.73</v>
      </c>
      <c r="E29">
        <v>896.93</v>
      </c>
    </row>
    <row r="30" spans="1:5" x14ac:dyDescent="0.3">
      <c r="A30" t="s">
        <v>66</v>
      </c>
      <c r="B30">
        <v>2040.19</v>
      </c>
      <c r="C30">
        <v>2745.91</v>
      </c>
      <c r="D30">
        <v>2687.75</v>
      </c>
      <c r="E30">
        <v>2728.05</v>
      </c>
    </row>
    <row r="31" spans="1:5" x14ac:dyDescent="0.3">
      <c r="A31" t="s">
        <v>65</v>
      </c>
      <c r="B31">
        <v>2819.92</v>
      </c>
      <c r="C31">
        <v>3525.64</v>
      </c>
      <c r="D31">
        <v>3467.48</v>
      </c>
      <c r="E31">
        <v>3624.98</v>
      </c>
    </row>
    <row r="32" spans="1:5" x14ac:dyDescent="0.3">
      <c r="A32" t="s">
        <v>64</v>
      </c>
      <c r="B32">
        <v>364.2</v>
      </c>
      <c r="C32">
        <v>352.26</v>
      </c>
      <c r="D32">
        <v>340.93</v>
      </c>
      <c r="E32">
        <v>322.39999999999998</v>
      </c>
    </row>
    <row r="33" spans="1:8" x14ac:dyDescent="0.3">
      <c r="A33" t="s">
        <v>63</v>
      </c>
      <c r="B33">
        <v>269.24</v>
      </c>
      <c r="C33">
        <v>337.59</v>
      </c>
      <c r="D33">
        <v>549.73</v>
      </c>
      <c r="E33">
        <v>4711.78</v>
      </c>
    </row>
    <row r="34" spans="1:8" x14ac:dyDescent="0.3">
      <c r="A34" t="s">
        <v>62</v>
      </c>
      <c r="B34">
        <v>0</v>
      </c>
      <c r="C34">
        <v>154.77000000000001</v>
      </c>
      <c r="D34">
        <v>157.47999999999999</v>
      </c>
      <c r="E34">
        <v>0</v>
      </c>
    </row>
    <row r="35" spans="1:8" x14ac:dyDescent="0.3">
      <c r="A35" t="s">
        <v>61</v>
      </c>
      <c r="B35">
        <v>12322.39</v>
      </c>
      <c r="C35">
        <v>13833.87</v>
      </c>
      <c r="D35">
        <v>17949.52</v>
      </c>
      <c r="E35">
        <v>14997.08</v>
      </c>
    </row>
    <row r="36" spans="1:8" x14ac:dyDescent="0.3">
      <c r="A36" t="s">
        <v>60</v>
      </c>
      <c r="B36">
        <v>12322.39</v>
      </c>
      <c r="C36">
        <v>13988.64</v>
      </c>
      <c r="D36">
        <v>17949.52</v>
      </c>
      <c r="E36">
        <v>14997.08</v>
      </c>
    </row>
    <row r="37" spans="1:8" x14ac:dyDescent="0.3">
      <c r="A37" t="s">
        <v>59</v>
      </c>
      <c r="B37">
        <v>63.53</v>
      </c>
      <c r="C37">
        <v>52.02</v>
      </c>
      <c r="D37">
        <v>72.19</v>
      </c>
      <c r="E37">
        <v>87.98</v>
      </c>
    </row>
    <row r="38" spans="1:8" x14ac:dyDescent="0.3">
      <c r="A38" t="s">
        <v>58</v>
      </c>
      <c r="B38">
        <v>2657.38</v>
      </c>
      <c r="C38">
        <v>2680.2</v>
      </c>
      <c r="D38">
        <v>1164.7</v>
      </c>
      <c r="E38">
        <v>1213.4000000000001</v>
      </c>
    </row>
    <row r="39" spans="1:8" x14ac:dyDescent="0.3">
      <c r="A39" t="s">
        <v>57</v>
      </c>
      <c r="B39">
        <v>1291.22</v>
      </c>
      <c r="C39">
        <v>1311.95</v>
      </c>
      <c r="D39">
        <v>1379.86</v>
      </c>
      <c r="E39">
        <v>1015.93</v>
      </c>
    </row>
    <row r="40" spans="1:8" x14ac:dyDescent="0.3">
      <c r="A40" t="s">
        <v>56</v>
      </c>
      <c r="B40">
        <v>43027.1</v>
      </c>
      <c r="C40">
        <v>46212.09</v>
      </c>
      <c r="D40">
        <v>50760.62</v>
      </c>
      <c r="E40">
        <v>44197.4</v>
      </c>
    </row>
    <row r="41" spans="1:8" x14ac:dyDescent="0.3">
      <c r="A41" t="s">
        <v>55</v>
      </c>
      <c r="B41">
        <v>77259.55</v>
      </c>
      <c r="C41">
        <v>85882.98</v>
      </c>
      <c r="D41">
        <v>91826.16</v>
      </c>
      <c r="E41">
        <v>88090.68</v>
      </c>
    </row>
    <row r="42" spans="1:8" x14ac:dyDescent="0.3">
      <c r="A42" t="s">
        <v>54</v>
      </c>
      <c r="B42">
        <v>4417.26</v>
      </c>
      <c r="C42">
        <v>4658.99</v>
      </c>
      <c r="D42">
        <v>4797.83</v>
      </c>
      <c r="E42">
        <v>4807.3</v>
      </c>
    </row>
    <row r="43" spans="1:8" x14ac:dyDescent="0.3">
      <c r="A43" t="s">
        <v>53</v>
      </c>
      <c r="B43">
        <v>687.09</v>
      </c>
      <c r="C43">
        <v>911.62</v>
      </c>
      <c r="D43">
        <v>940.88</v>
      </c>
      <c r="E43">
        <v>1229.6500000000001</v>
      </c>
    </row>
    <row r="44" spans="1:8" x14ac:dyDescent="0.3">
      <c r="A44" t="s">
        <v>52</v>
      </c>
      <c r="B44">
        <v>224.13</v>
      </c>
      <c r="C44">
        <v>239.07</v>
      </c>
      <c r="D44">
        <v>251.19</v>
      </c>
      <c r="E44">
        <v>259.27999999999997</v>
      </c>
    </row>
    <row r="45" spans="1:8" x14ac:dyDescent="0.3">
      <c r="A45" t="s">
        <v>51</v>
      </c>
      <c r="B45">
        <v>1.73</v>
      </c>
      <c r="C45">
        <v>2.39</v>
      </c>
      <c r="D45">
        <v>2.0099999999999998</v>
      </c>
      <c r="E45">
        <v>1.92</v>
      </c>
    </row>
    <row r="46" spans="1:8" x14ac:dyDescent="0.3">
      <c r="A46" t="s">
        <v>50</v>
      </c>
      <c r="B46">
        <v>5330.21</v>
      </c>
      <c r="C46">
        <v>5812.07</v>
      </c>
      <c r="D46">
        <v>5991.91</v>
      </c>
      <c r="E46">
        <v>6298.15</v>
      </c>
    </row>
    <row r="47" spans="1:8" x14ac:dyDescent="0.3">
      <c r="A47" t="s">
        <v>49</v>
      </c>
      <c r="B47">
        <v>79.56</v>
      </c>
      <c r="C47">
        <v>100.56</v>
      </c>
      <c r="D47">
        <v>106.91</v>
      </c>
      <c r="E47">
        <v>80.06</v>
      </c>
    </row>
    <row r="48" spans="1:8" x14ac:dyDescent="0.3">
      <c r="A48" t="s">
        <v>48</v>
      </c>
      <c r="B48">
        <v>79.56</v>
      </c>
      <c r="C48">
        <v>100.56</v>
      </c>
      <c r="D48">
        <v>106.91</v>
      </c>
      <c r="E48">
        <v>0</v>
      </c>
      <c r="H48" s="41"/>
    </row>
    <row r="49" spans="1:5" x14ac:dyDescent="0.3">
      <c r="A49" t="s">
        <v>47</v>
      </c>
      <c r="B49">
        <v>1.04</v>
      </c>
      <c r="C49">
        <v>35.619999999999997</v>
      </c>
      <c r="D49">
        <v>9.82</v>
      </c>
      <c r="E49">
        <v>91.56</v>
      </c>
    </row>
    <row r="50" spans="1:5" x14ac:dyDescent="0.3">
      <c r="A50" t="s">
        <v>46</v>
      </c>
      <c r="B50">
        <v>50.18</v>
      </c>
      <c r="C50">
        <v>53.86</v>
      </c>
      <c r="D50">
        <v>61.54</v>
      </c>
      <c r="E50">
        <v>56.07</v>
      </c>
    </row>
    <row r="51" spans="1:5" x14ac:dyDescent="0.3">
      <c r="A51" t="s">
        <v>45</v>
      </c>
      <c r="B51">
        <v>51.22</v>
      </c>
      <c r="C51">
        <v>89.48</v>
      </c>
      <c r="D51">
        <v>71.36</v>
      </c>
      <c r="E51">
        <v>147.63</v>
      </c>
    </row>
    <row r="52" spans="1:5" x14ac:dyDescent="0.3">
      <c r="A52" t="s">
        <v>44</v>
      </c>
      <c r="B52">
        <v>0</v>
      </c>
      <c r="C52">
        <v>0</v>
      </c>
      <c r="D52">
        <v>0</v>
      </c>
      <c r="E52">
        <v>0</v>
      </c>
    </row>
    <row r="53" spans="1:5" x14ac:dyDescent="0.3">
      <c r="A53" t="s">
        <v>43</v>
      </c>
      <c r="B53">
        <v>3837.86</v>
      </c>
      <c r="C53">
        <v>4276.51</v>
      </c>
      <c r="D53">
        <v>4708.55</v>
      </c>
      <c r="E53">
        <v>4884.09</v>
      </c>
    </row>
    <row r="54" spans="1:5" x14ac:dyDescent="0.3">
      <c r="A54" t="s">
        <v>42</v>
      </c>
      <c r="B54">
        <v>12163.71</v>
      </c>
      <c r="C54">
        <v>13739.41</v>
      </c>
      <c r="D54">
        <v>13690.4</v>
      </c>
      <c r="E54">
        <v>14334.11</v>
      </c>
    </row>
    <row r="55" spans="1:5" x14ac:dyDescent="0.3">
      <c r="A55" t="s">
        <v>41</v>
      </c>
      <c r="B55">
        <v>0.28999999999999998</v>
      </c>
      <c r="C55">
        <v>259.20999999999998</v>
      </c>
      <c r="D55">
        <v>288.3</v>
      </c>
      <c r="E55">
        <v>303.11</v>
      </c>
    </row>
    <row r="56" spans="1:5" x14ac:dyDescent="0.3">
      <c r="A56" t="s">
        <v>40</v>
      </c>
      <c r="B56">
        <v>4.8499999999999996</v>
      </c>
      <c r="C56">
        <v>3.49</v>
      </c>
      <c r="D56">
        <v>1.76</v>
      </c>
      <c r="E56">
        <v>0</v>
      </c>
    </row>
    <row r="57" spans="1:5" x14ac:dyDescent="0.3">
      <c r="A57" t="s">
        <v>39</v>
      </c>
      <c r="B57">
        <v>193.67</v>
      </c>
      <c r="C57">
        <v>213.37</v>
      </c>
      <c r="D57">
        <v>230.61</v>
      </c>
      <c r="E57">
        <v>137.21</v>
      </c>
    </row>
    <row r="58" spans="1:5" x14ac:dyDescent="0.3">
      <c r="A58" t="s">
        <v>38</v>
      </c>
      <c r="B58">
        <v>198.52</v>
      </c>
      <c r="C58">
        <v>216.86</v>
      </c>
      <c r="D58">
        <v>232.37</v>
      </c>
      <c r="E58">
        <v>137.21</v>
      </c>
    </row>
    <row r="59" spans="1:5" x14ac:dyDescent="0.3">
      <c r="A59" t="s">
        <v>37</v>
      </c>
      <c r="B59">
        <v>1673.47</v>
      </c>
      <c r="C59">
        <v>1629</v>
      </c>
      <c r="D59">
        <v>2141.44</v>
      </c>
      <c r="E59">
        <v>2582.46</v>
      </c>
    </row>
    <row r="60" spans="1:5" x14ac:dyDescent="0.3">
      <c r="A60" t="s">
        <v>36</v>
      </c>
      <c r="B60">
        <v>36.43</v>
      </c>
      <c r="C60">
        <v>82.84</v>
      </c>
      <c r="D60">
        <v>149.72</v>
      </c>
      <c r="E60">
        <v>34.51</v>
      </c>
    </row>
    <row r="61" spans="1:5" x14ac:dyDescent="0.3">
      <c r="A61" t="s">
        <v>35</v>
      </c>
      <c r="B61">
        <v>220.76</v>
      </c>
      <c r="C61">
        <v>258.92</v>
      </c>
      <c r="D61">
        <v>0</v>
      </c>
      <c r="E61">
        <v>0</v>
      </c>
    </row>
    <row r="62" spans="1:5" x14ac:dyDescent="0.3">
      <c r="A62" t="s">
        <v>34</v>
      </c>
      <c r="B62">
        <v>36.43</v>
      </c>
      <c r="C62">
        <v>82.84</v>
      </c>
      <c r="D62">
        <v>149.72</v>
      </c>
      <c r="E62">
        <v>34.51</v>
      </c>
    </row>
    <row r="63" spans="1:5" x14ac:dyDescent="0.3">
      <c r="A63" t="s">
        <v>33</v>
      </c>
      <c r="B63">
        <v>2273.9699999999998</v>
      </c>
      <c r="C63">
        <v>2604.7800000000002</v>
      </c>
      <c r="D63">
        <v>3245.79</v>
      </c>
      <c r="E63">
        <v>3358.63</v>
      </c>
    </row>
    <row r="64" spans="1:5" x14ac:dyDescent="0.3">
      <c r="A64" t="s">
        <v>32</v>
      </c>
      <c r="B64">
        <v>14437.68</v>
      </c>
      <c r="C64">
        <v>16344.19</v>
      </c>
      <c r="D64">
        <v>16936.189999999999</v>
      </c>
      <c r="E64">
        <v>17692.740000000002</v>
      </c>
    </row>
    <row r="65" spans="1:5" x14ac:dyDescent="0.3">
      <c r="A65" t="s">
        <v>31</v>
      </c>
      <c r="B65">
        <v>1232.33</v>
      </c>
      <c r="C65">
        <v>1242.8</v>
      </c>
      <c r="D65">
        <v>1248.47</v>
      </c>
      <c r="E65">
        <v>1251.4100000000001</v>
      </c>
    </row>
    <row r="66" spans="1:5" x14ac:dyDescent="0.3">
      <c r="A66" t="s">
        <v>30</v>
      </c>
      <c r="B66">
        <v>1232.33</v>
      </c>
      <c r="C66">
        <v>1242.8</v>
      </c>
      <c r="D66">
        <v>1248.47</v>
      </c>
      <c r="E66">
        <v>1251.4100000000001</v>
      </c>
    </row>
    <row r="67" spans="1:5" x14ac:dyDescent="0.3">
      <c r="A67" t="s">
        <v>29</v>
      </c>
      <c r="B67">
        <v>9959.5300000000007</v>
      </c>
      <c r="C67">
        <v>13050.69</v>
      </c>
      <c r="D67">
        <v>14827.85</v>
      </c>
      <c r="E67">
        <v>15848.68</v>
      </c>
    </row>
    <row r="68" spans="1:5" x14ac:dyDescent="0.3">
      <c r="A68" t="s">
        <v>28</v>
      </c>
      <c r="B68">
        <v>31292.03</v>
      </c>
      <c r="C68">
        <v>35340.230000000003</v>
      </c>
      <c r="D68">
        <v>36172.57</v>
      </c>
      <c r="E68">
        <v>49010.14</v>
      </c>
    </row>
    <row r="69" spans="1:5" x14ac:dyDescent="0.3">
      <c r="A69" t="s">
        <v>27</v>
      </c>
      <c r="B69">
        <v>1316.23</v>
      </c>
      <c r="C69">
        <v>741.45</v>
      </c>
      <c r="D69">
        <v>507.51</v>
      </c>
      <c r="E69">
        <v>422.76</v>
      </c>
    </row>
    <row r="70" spans="1:5" x14ac:dyDescent="0.3">
      <c r="A70" t="s">
        <v>26</v>
      </c>
      <c r="B70">
        <v>62455.57</v>
      </c>
      <c r="C70">
        <v>69155.259999999995</v>
      </c>
      <c r="D70">
        <v>74507</v>
      </c>
      <c r="E70">
        <v>70030.05</v>
      </c>
    </row>
    <row r="71" spans="1:5" x14ac:dyDescent="0.3">
      <c r="A71" t="s">
        <v>25</v>
      </c>
      <c r="B71">
        <v>366.3</v>
      </c>
      <c r="C71">
        <v>383.53</v>
      </c>
      <c r="D71">
        <v>382.97</v>
      </c>
      <c r="E71">
        <v>367.89</v>
      </c>
    </row>
    <row r="72" spans="1:5" x14ac:dyDescent="0.3">
      <c r="A72" t="s">
        <v>24</v>
      </c>
      <c r="B72">
        <v>62821.87</v>
      </c>
      <c r="C72">
        <v>69538.789999999994</v>
      </c>
      <c r="D72">
        <v>74889.97</v>
      </c>
      <c r="E72">
        <v>70397.94</v>
      </c>
    </row>
    <row r="73" spans="1:5" x14ac:dyDescent="0.3">
      <c r="A73" t="s">
        <v>23</v>
      </c>
      <c r="B73">
        <v>62460.42</v>
      </c>
      <c r="C73">
        <v>69158.75</v>
      </c>
      <c r="D73">
        <v>74508.759999999995</v>
      </c>
      <c r="E73">
        <v>70030.05</v>
      </c>
    </row>
    <row r="74" spans="1:5" x14ac:dyDescent="0.3">
      <c r="A74" t="s">
        <v>22</v>
      </c>
      <c r="B74">
        <v>62455.57</v>
      </c>
      <c r="C74">
        <v>69155.259999999995</v>
      </c>
      <c r="D74">
        <v>74507</v>
      </c>
      <c r="E74">
        <v>70030.05</v>
      </c>
    </row>
    <row r="75" spans="1:5" x14ac:dyDescent="0.3">
      <c r="A75" t="s">
        <v>21</v>
      </c>
      <c r="B75">
        <v>243.85</v>
      </c>
      <c r="C75">
        <v>267.23</v>
      </c>
      <c r="D75">
        <v>292.14999999999998</v>
      </c>
      <c r="E75">
        <v>193.28</v>
      </c>
    </row>
    <row r="76" spans="1:5" x14ac:dyDescent="0.3">
      <c r="A76" t="s">
        <v>20</v>
      </c>
      <c r="B76">
        <v>59635.65</v>
      </c>
      <c r="C76">
        <v>65629.62</v>
      </c>
      <c r="D76">
        <v>71039.520000000004</v>
      </c>
      <c r="E76">
        <v>66405.070000000007</v>
      </c>
    </row>
    <row r="77" spans="1:5" x14ac:dyDescent="0.3">
      <c r="A77" t="s">
        <v>19</v>
      </c>
      <c r="B77">
        <v>22068.74</v>
      </c>
      <c r="C77">
        <v>25931.48</v>
      </c>
      <c r="D77">
        <v>27375.14</v>
      </c>
      <c r="E77">
        <v>29559.17</v>
      </c>
    </row>
    <row r="78" spans="1:5" x14ac:dyDescent="0.3">
      <c r="A78" t="s">
        <v>18</v>
      </c>
      <c r="B78">
        <v>62461.46</v>
      </c>
      <c r="C78">
        <v>69194.37</v>
      </c>
      <c r="D78">
        <v>74518.58</v>
      </c>
      <c r="E78">
        <v>70121.61</v>
      </c>
    </row>
    <row r="79" spans="1:5" x14ac:dyDescent="0.3">
      <c r="A79" t="s">
        <v>17</v>
      </c>
      <c r="B79">
        <v>59635.65</v>
      </c>
      <c r="C79">
        <v>65629.62</v>
      </c>
      <c r="D79">
        <v>71039.520000000004</v>
      </c>
      <c r="E79">
        <v>66405.070000000007</v>
      </c>
    </row>
    <row r="80" spans="1:5" x14ac:dyDescent="0.3">
      <c r="A80" t="s">
        <v>16</v>
      </c>
      <c r="B80">
        <v>249.74</v>
      </c>
      <c r="C80">
        <v>306.33999999999997</v>
      </c>
      <c r="D80">
        <v>303.73</v>
      </c>
      <c r="E80">
        <v>284.83999999999997</v>
      </c>
    </row>
    <row r="81" spans="1:5" x14ac:dyDescent="0.3">
      <c r="A81" t="s">
        <v>15</v>
      </c>
      <c r="B81">
        <v>1232.3255931000001</v>
      </c>
      <c r="C81">
        <v>1242.8017741000001</v>
      </c>
      <c r="D81">
        <v>1248.4721471</v>
      </c>
      <c r="E81">
        <v>1251.4119780999999</v>
      </c>
    </row>
    <row r="82" spans="1:5" x14ac:dyDescent="0.3">
      <c r="A82" t="s">
        <v>14</v>
      </c>
      <c r="B82">
        <v>1232.3255931000001</v>
      </c>
      <c r="C82">
        <v>1242.8017741000001</v>
      </c>
      <c r="D82">
        <v>1248.4721471</v>
      </c>
      <c r="E82">
        <v>1251.4119780999999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B5B4A-62F2-4DCA-B75C-3B67DA610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Outputs</vt:lpstr>
      <vt:lpstr>Inputs</vt:lpstr>
      <vt:lpstr>Model</vt:lpstr>
      <vt:lpstr>HIS</vt:lpstr>
      <vt:lpstr>HBS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 Singh</dc:creator>
  <cp:lastModifiedBy>Aarav Singh</cp:lastModifiedBy>
  <dcterms:created xsi:type="dcterms:W3CDTF">2025-12-24T13:04:01Z</dcterms:created>
  <dcterms:modified xsi:type="dcterms:W3CDTF">2025-12-26T17:43:45Z</dcterms:modified>
</cp:coreProperties>
</file>